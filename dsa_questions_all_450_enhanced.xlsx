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Coding word\js\Data Science Algorithm From Excel\"/>
    </mc:Choice>
  </mc:AlternateContent>
  <xr:revisionPtr revIDLastSave="0" documentId="13_ncr:1_{FB6B0AE2-AB40-4BCE-A2FD-F3B3DFE4A0C4}" xr6:coauthVersionLast="47" xr6:coauthVersionMax="47" xr10:uidLastSave="{00000000-0000-0000-0000-000000000000}"/>
  <bookViews>
    <workbookView xWindow="-108" yWindow="-108" windowWidth="23256" windowHeight="12456" tabRatio="500" activeTab="1" xr2:uid="{00000000-000D-0000-FFFF-FFFF00000000}"/>
  </bookViews>
  <sheets>
    <sheet name="Summary" sheetId="1" r:id="rId1"/>
    <sheet name="DSA Questions" sheetId="2" r:id="rId2"/>
  </sheets>
  <definedNames>
    <definedName name="_xlnm._FilterDatabase" localSheetId="1" hidden="1">'DSA Questions'!$A$1:$E$451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1" i="1" l="1"/>
  <c r="B30" i="1"/>
  <c r="B29" i="1"/>
  <c r="B28" i="1"/>
  <c r="B27" i="1"/>
  <c r="B26" i="1"/>
  <c r="B25" i="1"/>
  <c r="B24" i="1"/>
  <c r="B23" i="1"/>
  <c r="B22" i="1"/>
  <c r="B21" i="1"/>
  <c r="B20" i="1"/>
  <c r="B19" i="1"/>
  <c r="B18" i="1"/>
  <c r="B17" i="1"/>
  <c r="B16" i="1"/>
  <c r="B15" i="1"/>
  <c r="B14" i="1"/>
  <c r="B13" i="1"/>
  <c r="B12" i="1"/>
  <c r="B11" i="1"/>
  <c r="B8" i="1"/>
  <c r="B7" i="1"/>
  <c r="B6" i="1"/>
  <c r="B3" i="1"/>
</calcChain>
</file>

<file path=xl/sharedStrings.xml><?xml version="1.0" encoding="utf-8"?>
<sst xmlns="http://schemas.openxmlformats.org/spreadsheetml/2006/main" count="2285" uniqueCount="1287">
  <si>
    <t>DSA Questions Summary - Complete Edition (450 Questions)</t>
  </si>
  <si>
    <t>Total Questions:</t>
  </si>
  <si>
    <t>By Difficulty:</t>
  </si>
  <si>
    <t>Easy:</t>
  </si>
  <si>
    <t>Medium:</t>
  </si>
  <si>
    <t>Hard:</t>
  </si>
  <si>
    <t>By Category:</t>
  </si>
  <si>
    <t>Array:</t>
  </si>
  <si>
    <t>Backtracking:</t>
  </si>
  <si>
    <t>Binary Search:</t>
  </si>
  <si>
    <t>Binary Tree:</t>
  </si>
  <si>
    <t>Bit Manipulation:</t>
  </si>
  <si>
    <t>Design:</t>
  </si>
  <si>
    <t>Dynamic Programming:</t>
  </si>
  <si>
    <t>Graph:</t>
  </si>
  <si>
    <t>Greedy:</t>
  </si>
  <si>
    <t>Hash Map:</t>
  </si>
  <si>
    <t>Heap:</t>
  </si>
  <si>
    <t>Linked List:</t>
  </si>
  <si>
    <t>Math:</t>
  </si>
  <si>
    <t>Queue:</t>
  </si>
  <si>
    <t>Sliding Window:</t>
  </si>
  <si>
    <t>Sorting:</t>
  </si>
  <si>
    <t>Stack:</t>
  </si>
  <si>
    <t>String:</t>
  </si>
  <si>
    <t>Trie:</t>
  </si>
  <si>
    <t>Two Pointers:</t>
  </si>
  <si>
    <t>Union Find:</t>
  </si>
  <si>
    <t>Short Description</t>
  </si>
  <si>
    <t>Full Problem Statement</t>
  </si>
  <si>
    <t>Category</t>
  </si>
  <si>
    <t>Difficulty</t>
  </si>
  <si>
    <t>Two Sum</t>
  </si>
  <si>
    <t>Find two numbers in array that add up to target value</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</si>
  <si>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nums = [2,7,11,15], target = 9, Output: [0,1] because nums[0] + nums[1] = 2 + 7 = 9</t>
  </si>
  <si>
    <t>Array</t>
  </si>
  <si>
    <t>Easy</t>
  </si>
  <si>
    <t>Best Time to Buy and Sell Stock</t>
  </si>
  <si>
    <t>Find maximum profit from single buy and sell transaction</t>
  </si>
  <si>
    <t>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Input: prices = [7,1,5,3,6,4], Output: 5 (buy on day 2 at price 1 and sell on day 5 at price 6, profit = 6-1 = 5)</t>
  </si>
  <si>
    <t>Contains Duplicate</t>
  </si>
  <si>
    <t>Check if any value appears at least twice in array</t>
  </si>
  <si>
    <t>Given an integer array nums, return true if any value appears at least twice in the array, and return false if every element is distinct. Example: Input: nums = [1,2,3,1], Output: true. Input: nums = [1,2,3,4], Output: false. Can be solved using hash set in O(n) time.</t>
  </si>
  <si>
    <t>Maximum Subarray (Kadane)</t>
  </si>
  <si>
    <t>Find contiguous subarray with largest sum</t>
  </si>
  <si>
    <t>Problem: Maximum Subarray (Kadane). Find contiguous subarray with largest sum. This is a Easy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</si>
  <si>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Move Zeroes</t>
  </si>
  <si>
    <t>Move all zeros to end while maintaining relative order</t>
  </si>
  <si>
    <t>Problem: Move Zeroes. Move all zeros to end while maintaining relative order. This is a Easy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</si>
  <si>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Plus One</t>
  </si>
  <si>
    <t>Increment large integer represented as array of digits</t>
  </si>
  <si>
    <t>Problem: Plus One. Increment large integer represented as array of digits. This is a Easy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</si>
  <si>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Remove Duplicates from Sorted Array</t>
  </si>
  <si>
    <t>Remove duplicates in-place from sorted array</t>
  </si>
  <si>
    <t>Problem: Remove Duplicates from Sorted Array. Remove duplicates in-place from sorted array. This is a Easy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</si>
  <si>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Merge Sorted Array</t>
  </si>
  <si>
    <t>Merge two sorted arrays into first array</t>
  </si>
  <si>
    <t>Problem: Merge Sorted Array. Merge two sorted arrays into first array. This is a Easy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</si>
  <si>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Pascal's Triangle</t>
  </si>
  <si>
    <t>Generate first n rows of Pascal's triangle</t>
  </si>
  <si>
    <t>Problem: Pascal's Triangle. Generate first n rows of Pascal's triangle. This is a Easy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</si>
  <si>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Single Number</t>
  </si>
  <si>
    <t>Find element that appears once while others appear twice</t>
  </si>
  <si>
    <t>Problem: Single Number. Find element that appears once while others appear twice. This is a Easy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</si>
  <si>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Product of Array Except Self</t>
  </si>
  <si>
    <t>Return array where each element is product of all others except self</t>
  </si>
  <si>
    <t>Given an integer array nums, return an array answer such that answer[i] is equal to the product of all the elements of nums except nums[i]. The product of any prefix or suffix of nums is guaranteed to fit in a 32-bit integer. You must write an algorithm that runs in O(n) time and without using the division operation. Example: Input: nums = [1,2,3,4], Output: [24,12,8,6]</t>
  </si>
  <si>
    <t>Medium</t>
  </si>
  <si>
    <t>3Sum</t>
  </si>
  <si>
    <t>Find all unique triplets in array that sum to zero</t>
  </si>
  <si>
    <t>Given an integer array nums, return all the triplets [nums[i], nums[j], nums[k]] such that i != j, i != k, and j != k, and nums[i] + nums[j] + nums[k] == 0. Notice that the solution set must not contain duplicate triplets. Example: Input: nums = [-1,0,1,2,-1,-4], Output: [[-1,-1,2],[-1,0,1]]. Sort array first, then use two pointers for each element.</t>
  </si>
  <si>
    <t>Container With Most Water</t>
  </si>
  <si>
    <t>Find two lines that form container holding most water</t>
  </si>
  <si>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Example: Input: height = [1,8,6,2,5,4,8,3,7], Output: 49. Use two pointers from both ends.</t>
  </si>
  <si>
    <t>Search in Rotated Sorted Array</t>
  </si>
  <si>
    <t>Search for target in rotated sorted array</t>
  </si>
  <si>
    <t>There is an integer array nums sorted in ascending order (with distinct values). Prior to being passed to your function, nums is possibly rotated at an unknown pivot index k. Given the array nums after the possible rotation and an integer target, return the index of target if it is in nums, or -1 if it is not in nums. You must write an algorithm with O(log n) runtime complexity. Example: Input: nums = [4,5,6,7,0,1,2], target = 0, Output: 4</t>
  </si>
  <si>
    <t>Find Minimum in Rotated Sorted Array</t>
  </si>
  <si>
    <t>Find minimum element in rotated sorted array</t>
  </si>
  <si>
    <t>Suppose an array of length n sorted in ascending order is rotated between 1 and n times. Given the sorted rotated array nums of unique elements, return the minimum element of this array. You must write an algorithm that runs in O(log n) time. Example: Input: nums = [3,4,5,1,2], Output: 1. Use modified binary search.</t>
  </si>
  <si>
    <t>Maximum Product Subarray</t>
  </si>
  <si>
    <t>Find contiguous subarray with largest product</t>
  </si>
  <si>
    <t>Given an integer array nums, find a contiguous non-empty subarray within the array that has the largest product, and return the product. It is guaranteed that the answer will fit in a 32-bit integer. Example: Input: nums = [2,3,-2,4], Output: 6 (subarray [2,3] has the largest product 6). Track both max and min products due to negative numbers.</t>
  </si>
  <si>
    <t>Rotate Array</t>
  </si>
  <si>
    <t>Rotate array to the right by k steps</t>
  </si>
  <si>
    <t>Given an integer array nums, rotate the array to the right by k steps, where k is non-negative. Example: Input: nums = [1,2,3,4,5,6,7], k = 3, Output: [5,6,7,1,2,3,4]. Try to come up with as many solutions as you can. Three reversal method: reverse all, reverse first k, reverse remaining.</t>
  </si>
  <si>
    <t>Sort Colors</t>
  </si>
  <si>
    <t>Sort array of 0s, 1s, and 2s in-place</t>
  </si>
  <si>
    <t>Problem: Sort Colors. Sort array of 0s, 1s, and 2s in-place. This is a Medium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</si>
  <si>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Spiral Matrix</t>
  </si>
  <si>
    <t>Return all elements of matrix in spiral order</t>
  </si>
  <si>
    <t>Problem: Spiral Matrix. Return all elements of matrix in spiral order. This is a Medium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</si>
  <si>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Set Matrix Zeroes</t>
  </si>
  <si>
    <t>Set entire row and column to 0 if element is 0</t>
  </si>
  <si>
    <t>Problem: Set Matrix Zeroes. Set entire row and column to 0 if element is 0. This is a Medium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</si>
  <si>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Next Permutation</t>
  </si>
  <si>
    <t>Rearrange numbers into next lexicographically greater permutation</t>
  </si>
  <si>
    <t>Problem: Next Permutation. Rearrange numbers into next lexicographically greater permutation. This is a Medium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</si>
  <si>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Jump Game</t>
  </si>
  <si>
    <t>Determine if you can reach last index</t>
  </si>
  <si>
    <t>Problem: Jump Game. Determine if you can reach last index. This is a Medium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</si>
  <si>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Merge Intervals</t>
  </si>
  <si>
    <t>Merge all overlapping intervals</t>
  </si>
  <si>
    <t>Given an array of intervals where intervals[i] = [starti, endi], merge all overlapping intervals, and return an array of the non-overlapping intervals that cover all the intervals in the input. Example: Input: intervals = [[1,3],[2,6],[8,10],[15,18]], Output: [[1,6],[8,10],[15,18]]. Sort by start time first, then merge overlapping.</t>
  </si>
  <si>
    <t>Insert Interval</t>
  </si>
  <si>
    <t>Insert new interval and merge if necessary</t>
  </si>
  <si>
    <t>You are given an array of non-overlapping intervals intervals where intervals[i] = [starti, endi] represent the start and the end of the ith interval and intervals is sorted in ascending order by starti. You are also given an interval newInterval = [start, end] that represents the start and end of another interval. Insert newInterval into intervals such that intervals is still sorted in ascending order by starti and intervals still does not have any overlapping intervals. Return intervals after the insertion.</t>
  </si>
  <si>
    <t>Rotate Image</t>
  </si>
  <si>
    <t>Rotate n x n 2D matrix by 90 degrees clockwise</t>
  </si>
  <si>
    <t>Problem: Rotate Image. Rotate n x n 2D matrix by 90 degrees clockwise. This is a Medium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</si>
  <si>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Trapping Rain Water</t>
  </si>
  <si>
    <t>Calculate how much water can be trapped after raining</t>
  </si>
  <si>
    <t>Given n non-negative integers representing an elevation map where the width of each bar is 1, compute how much water it can trap after raining. Example: Input: height = [0,1,0,2,1,0,1,3,2,1,2,1], Output: 6. Water trapped = min(max_left, max_right) - current_height. Can use two pointers, stack, or DP approach.</t>
  </si>
  <si>
    <t>Hard</t>
  </si>
  <si>
    <t>First Missing Positive</t>
  </si>
  <si>
    <t>Find smallest missing positive integer in unsorted array</t>
  </si>
  <si>
    <t>Problem: First Missing Positive. Find smallest missing positive integer in unsorted array. This is a Hard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</si>
  <si>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Median of Two Sorted Arrays</t>
  </si>
  <si>
    <t>Find median of two sorted arrays</t>
  </si>
  <si>
    <t>Problem: Median of Two Sorted Arrays. Find median of two sorted arrays. This is a Hard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</si>
  <si>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Largest Rectangle in Histogram</t>
  </si>
  <si>
    <t>Find area of largest rectangle in histogram</t>
  </si>
  <si>
    <t>Problem: Largest Rectangle in Histogram. Find area of largest rectangle in histogram. This is a Hard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</si>
  <si>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Sliding Window Maximum</t>
  </si>
  <si>
    <t>Find maximum in each sliding window of size k</t>
  </si>
  <si>
    <t>Problem: Sliding Window Maximum. Find maximum in each sliding window of size k. This is a Hard level problem in the Array category. Approach: Analyze the problem requirements, identify the appropriate data structure and algorithm, implement the solution efficiently considering time and space complexity. Test with various edge cases including empty inputs, single elements, and large datasets.</t>
  </si>
  <si>
    <t>Valid Palindrome</t>
  </si>
  <si>
    <t>Check if string is palindrome ignoring non-alphanumeric</t>
  </si>
  <si>
    <t>A phrase is a palindrome if, after converting all uppercase letters into lowercase letters and removing all non-alphanumeric characters, it reads the same forward and backward. Alphanumeric characters include letters and numbers. Given a string s, return true if it is a palindrome, or false otherwise. Example: Input: s = 'A man, a plan, a canal: Panama', Output: true. Use two pointers from both ends.</t>
  </si>
  <si>
    <t>String</t>
  </si>
  <si>
    <t>Valid Anagram</t>
  </si>
  <si>
    <t>Check if two strings are anagrams of each other</t>
  </si>
  <si>
    <t>Given two strings s and t, return true if t is an anagram of s, and false otherwise. An Anagram is a word or phrase formed by rearranging the letters of a different word or phrase, typically using all the original letters exactly once. Example: Input: s = 'anagram', t = 'nagaram', Output: true. Can use frequency count with hash map or sort both strings.</t>
  </si>
  <si>
    <t>Reverse String</t>
  </si>
  <si>
    <t>Reverse array of characters in-place</t>
  </si>
  <si>
    <t>Problem: Reverse String. Reverse array of characters in-place. This is a Easy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</si>
  <si>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First Unique Character in String</t>
  </si>
  <si>
    <t>Find first non-repeating character</t>
  </si>
  <si>
    <t>Problem: First Unique Character in String. Find first non-repeating character. This is a Easy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</si>
  <si>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Implement strStr()</t>
  </si>
  <si>
    <t>Return index of first occurrence of substring</t>
  </si>
  <si>
    <t>Problem: Implement strStr(). Return index of first occurrence of substring. This is a Easy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</si>
  <si>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Common Prefix</t>
  </si>
  <si>
    <t>Find longest common prefix among array of strings</t>
  </si>
  <si>
    <t>Problem: Longest Common Prefix. Find longest common prefix among array of strings. This is a Easy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</si>
  <si>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Valid Parentheses</t>
  </si>
  <si>
    <t>Check if string of parentheses is valid</t>
  </si>
  <si>
    <t>Given a string s containing just the characters '(', ')', '{', '}', '[' and ']', determine if the input string is valid. An input string is valid if: 1) Open brackets must be closed by the same type of brackets. 2) Open brackets must be closed in the correct order. 3) Every close bracket has a corresponding open bracket of the same type. Example: Input: s = '()[]{}', Output: true. Use stack to match brackets.</t>
  </si>
  <si>
    <t>Length of Last Word</t>
  </si>
  <si>
    <t>Return length of last word in string</t>
  </si>
  <si>
    <t>Problem: Length of Last Word. Return length of last word in string. This is a Easy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</si>
  <si>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Roman to Integer</t>
  </si>
  <si>
    <t>Convert Roman numeral to integer</t>
  </si>
  <si>
    <t>Problem: Roman to Integer. Convert Roman numeral to integer. This is a Easy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</si>
  <si>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Excel Sheet Column Title</t>
  </si>
  <si>
    <t>Convert column number to Excel column title</t>
  </si>
  <si>
    <t>Problem: Excel Sheet Column Title. Convert column number to Excel column title. This is a Easy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</si>
  <si>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Substring Without Repeating Characters</t>
  </si>
  <si>
    <t>Find length of longest substring without repeating characters</t>
  </si>
  <si>
    <t>Given a string s, find the length of the longest substring without repeating characters. Example: Input: s = 'abcabcbb', Output: 3 (The answer is 'abc', with length 3). Input: s = 'bbbbb', Output: 1. Use sliding window with hash set/map to track characters.</t>
  </si>
  <si>
    <t>Longest Palindromic Substring</t>
  </si>
  <si>
    <t>Find the longest palindromic substring</t>
  </si>
  <si>
    <t>Given a string s, return the longest palindromic substring in s. A string is palindromic if it reads the same forward and backward. Example: Input: s = 'babad', Output: 'bab' (Note: 'aba' is also valid). Can use expand around center O(n²) or Manacher's algorithm O(n).</t>
  </si>
  <si>
    <t>Palindromic Substrings</t>
  </si>
  <si>
    <t>Count all palindromic substrings in string</t>
  </si>
  <si>
    <t>Given a string s, return the number of palindromic substrings in it. A string is a palindrome when it reads the same backward as forward. A substring is a contiguous sequence of characters within the string. Example: Input: s = 'abc', Output: 3 (Three palindromic strings: 'a', 'b', 'c'). Input: s = 'aaa', Output: 6. Expand around each center.</t>
  </si>
  <si>
    <t>Group Anagrams</t>
  </si>
  <si>
    <t>Group strings that are anagrams of each other</t>
  </si>
  <si>
    <t>Given an array of strings strs, group the anagrams together. You can return the answer in any order. An Anagram is a word or phrase formed by rearranging the letters of a different word or phrase, typically using all the original letters exactly once. Example: Input: strs = ['eat','tea','tan','ate','nat','bat'], Output: [['bat'],['nat','tan'],['ate','eat','tea']]. Use hash map with sorted string or character count as key.</t>
  </si>
  <si>
    <t>Longest Repeating Character Replacement</t>
  </si>
  <si>
    <t>Longest substring with same letter after k replacements</t>
  </si>
  <si>
    <t>You are given a string s and an integer k. You can choose any character of the string and change it to any other uppercase English character. You can perform this operation at most k times. Return the length of the longest substring containing the same letter you can get after performing the above operations. Example: Input: s = 'ABAB', k = 2, Output: 4 (Replace two 'A's with 'B's or vice versa). Use sliding window.</t>
  </si>
  <si>
    <t>String to Integer (atoi)</t>
  </si>
  <si>
    <t>Implement atoi function to convert string to integer</t>
  </si>
  <si>
    <t>Problem: String to Integer (atoi). Implement atoi function to convert string to integer. This is a Medium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</si>
  <si>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ZigZag Conversion</t>
  </si>
  <si>
    <t>Convert string in zigzag pattern on given rows</t>
  </si>
  <si>
    <t>Problem: ZigZag Conversion. Convert string in zigzag pattern on given rows. This is a Medium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</si>
  <si>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Generate Parentheses</t>
  </si>
  <si>
    <t>Generate all combinations of well-formed parentheses</t>
  </si>
  <si>
    <t>Problem: Generate Parentheses. Generate all combinations of well-formed parentheses. This is a Medium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</si>
  <si>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Letter Combinations of Phone Number</t>
  </si>
  <si>
    <t>Generate all letter combinations from phone number digits</t>
  </si>
  <si>
    <t>Problem: Letter Combinations of Phone Number. Generate all letter combinations from phone number digits. This is a Medium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</si>
  <si>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Decode String</t>
  </si>
  <si>
    <t>Decode encoded string with pattern k[encoded_string]</t>
  </si>
  <si>
    <t>Problem: Decode String. Decode encoded string with pattern k[encoded_string]. This is a Medium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</si>
  <si>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Multiply Strings</t>
  </si>
  <si>
    <t>Multiply two non-negative integers as strings</t>
  </si>
  <si>
    <t>Problem: Multiply Strings. Multiply two non-negative integers as strings. This is a Medium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</si>
  <si>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Simplify Path</t>
  </si>
  <si>
    <t>Simplify absolute Unix-style file path</t>
  </si>
  <si>
    <t>Problem: Simplify Path. Simplify absolute Unix-style file path. This is a Medium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</si>
  <si>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Window Substring</t>
  </si>
  <si>
    <t>Find minimum window containing all characters of another string</t>
  </si>
  <si>
    <t>Given two strings s and t of lengths m and n respectively, return the minimum window substring of s such that every character in t (including duplicates) is included in the window. If there is no such substring, return the empty string ''. Example: Input: s = 'ADOBECODEBANC', t = 'ABC', Output: 'BANC'. Use sliding window with two pointers and frequency map.</t>
  </si>
  <si>
    <t>Edit Distance</t>
  </si>
  <si>
    <t>Find minimum operations to convert one string to another</t>
  </si>
  <si>
    <t>Problem: Edit Distance. Find minimum operations to convert one string to another. This is a Hard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</si>
  <si>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Regular Expression Matching</t>
  </si>
  <si>
    <t>Implement regex matching with . and *</t>
  </si>
  <si>
    <t>Problem: Regular Expression Matching. Implement regex matching with . and *. This is a Hard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</si>
  <si>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Wildcard Matching</t>
  </si>
  <si>
    <t>Implement wildcard pattern matching with ? and *</t>
  </si>
  <si>
    <t>Problem: Wildcard Matching. Implement wildcard pattern matching with ? and *. This is a Hard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</si>
  <si>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Valid Parentheses</t>
  </si>
  <si>
    <t>Find length of longest valid parentheses substring</t>
  </si>
  <si>
    <t>Problem: Longest Valid Parentheses. Find length of longest valid parentheses substring. This is a Hard level problem in the String category. Approach: Analyze the problem requirements, identify the appropriate data structure and algorithm, implement the solution efficiently considering time and space complexity. Test with various edge cases including empty inputs, single elements, and large datasets.</t>
  </si>
  <si>
    <t>Reverse Linked List</t>
  </si>
  <si>
    <t>Reverse a singly linked list iteratively or recursively</t>
  </si>
  <si>
    <t>Problem: Reverse Linked List. Reverse a singly linked list iteratively or recursively.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</si>
  <si>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Linked List</t>
  </si>
  <si>
    <t>Merge Two Sorted Lists</t>
  </si>
  <si>
    <t>Merge two sorted linked lists into one sorted list</t>
  </si>
  <si>
    <t>Problem: Merge Two Sorted Lists. Merge two sorted linked lists into one sorted list.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</si>
  <si>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Linked List Cycle</t>
  </si>
  <si>
    <t>Detect if linked list has a cycle</t>
  </si>
  <si>
    <t>Problem: Linked List Cycle. Detect if linked list has a cycle.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</si>
  <si>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Remove Linked List Elements</t>
  </si>
  <si>
    <t>Remove all nodes with specific value</t>
  </si>
  <si>
    <t>Problem: Remove Linked List Elements. Remove all nodes with specific value.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</si>
  <si>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Palindrome Linked List</t>
  </si>
  <si>
    <t>Check if linked list is palindrome</t>
  </si>
  <si>
    <t>Problem: Palindrome Linked List. Check if linked list is palindrome.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</si>
  <si>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Intersection of Two Linked Lists</t>
  </si>
  <si>
    <t>Find node where two lists intersect</t>
  </si>
  <si>
    <t>Problem: Intersection of Two Linked Lists. Find node where two lists intersect.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</si>
  <si>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Delete Node in Linked List</t>
  </si>
  <si>
    <t>Delete node given only node reference (not head)</t>
  </si>
  <si>
    <t>Problem: Delete Node in Linked List. Delete node given only node reference (not head).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</si>
  <si>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Middle of Linked List</t>
  </si>
  <si>
    <t>Find middle node of linked list</t>
  </si>
  <si>
    <t>Problem: Middle of Linked List. Find middle node of linked list. This is a Easy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</si>
  <si>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Add Two Numbers</t>
  </si>
  <si>
    <t>Add two numbers represented as linked lists</t>
  </si>
  <si>
    <t>Problem: Add Two Numbers. Add two numbers represented as linked lists.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</si>
  <si>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Remove Nth Node From End of List</t>
  </si>
  <si>
    <t>Remove nth node from end of list in one pass</t>
  </si>
  <si>
    <t>Problem: Remove Nth Node From End of List. Remove nth node from end of list in one pass.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</si>
  <si>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Reorder List</t>
  </si>
  <si>
    <t>Reorder list as L0→Ln→L1→Ln-1→L2→Ln-2→...</t>
  </si>
  <si>
    <t>Problem: Reorder List. Reorder list as L0→Ln→L1→Ln-1→L2→Ln-2→....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</si>
  <si>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Swap Nodes in Pairs</t>
  </si>
  <si>
    <t>Swap every two adjacent nodes in linked list</t>
  </si>
  <si>
    <t>Problem: Swap Nodes in Pairs. Swap every two adjacent nodes in linked list.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</si>
  <si>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Odd Even Linked List</t>
  </si>
  <si>
    <t>Group odd and even positioned nodes together</t>
  </si>
  <si>
    <t>Problem: Odd Even Linked List. Group odd and even positioned nodes together.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</si>
  <si>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Sort List</t>
  </si>
  <si>
    <t>Sort linked list using merge sort in O(n log n)</t>
  </si>
  <si>
    <t>Problem: Sort List. Sort linked list using merge sort in O(n log n).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</si>
  <si>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Insertion Sort List</t>
  </si>
  <si>
    <t>Sort linked list using insertion sort</t>
  </si>
  <si>
    <t>Problem: Insertion Sort List. Sort linked list using insertion sort.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</si>
  <si>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Copy List with Random Pointer</t>
  </si>
  <si>
    <t>Deep copy linked list with random pointers</t>
  </si>
  <si>
    <t>Problem: Copy List with Random Pointer. Deep copy linked list with random pointers.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</si>
  <si>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Rotate List</t>
  </si>
  <si>
    <t>Rotate list to right by k places</t>
  </si>
  <si>
    <t>Problem: Rotate List. Rotate list to right by k places.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</si>
  <si>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Partition List</t>
  </si>
  <si>
    <t>Partition list around value x</t>
  </si>
  <si>
    <t>Problem: Partition List. Partition list around value x. This is a Medium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</si>
  <si>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Merge K Sorted Lists</t>
  </si>
  <si>
    <t>Merge k sorted linked lists into one sorted list</t>
  </si>
  <si>
    <t>Problem: Merge K Sorted Lists. Merge k sorted linked lists into one sorted list. This is a Hard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</si>
  <si>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Reverse Nodes in K-Group</t>
  </si>
  <si>
    <t>Reverse nodes of list k at a time</t>
  </si>
  <si>
    <t>Problem: Reverse Nodes in K-Group. Reverse nodes of list k at a time. This is a Hard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</si>
  <si>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LRU Cache</t>
  </si>
  <si>
    <t>Design and implement Least Recently Used cache</t>
  </si>
  <si>
    <t>Problem: LRU Cache. Design and implement Least Recently Used cache. This is a Hard level problem in the Linked List category. Approach: Analyze the problem requirements, identify the appropriate data structure and algorithm, implement the solution efficiently considering time and space complexity. Test with various edge cases including empty inputs, single elements, and large datasets.</t>
  </si>
  <si>
    <t>Check if parentheses string is valid and balanced</t>
  </si>
  <si>
    <t>Stack</t>
  </si>
  <si>
    <t>Implement Stack using Queues</t>
  </si>
  <si>
    <t>Implement stack using queue operations</t>
  </si>
  <si>
    <t>Problem: Implement Stack using Queues. Implement stack using queue operations. This is a Easy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</si>
  <si>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Min Stack</t>
  </si>
  <si>
    <t>Design stack with constant time min operation</t>
  </si>
  <si>
    <t>Problem: Min Stack. Design stack with constant time min operation. This is a Easy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</si>
  <si>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Baseball Game</t>
  </si>
  <si>
    <t>Calculate score following baseball operations</t>
  </si>
  <si>
    <t>Problem: Baseball Game. Calculate score following baseball operations. This is a Easy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</si>
  <si>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Remove All Adjacent Duplicates</t>
  </si>
  <si>
    <t>Remove adjacent duplicate characters</t>
  </si>
  <si>
    <t>Problem: Remove All Adjacent Duplicates. Remove adjacent duplicate characters. This is a Easy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</si>
  <si>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Backspace String Compare</t>
  </si>
  <si>
    <t>Compare strings after processing backspaces</t>
  </si>
  <si>
    <t>Problem: Backspace String Compare. Compare strings after processing backspaces. This is a Easy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</si>
  <si>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Evaluate Reverse Polish Notation</t>
  </si>
  <si>
    <t>Evaluate arithmetic expression in postfix notation</t>
  </si>
  <si>
    <t>Problem: Evaluate Reverse Polish Notation. Evaluate arithmetic expression in postfix notation.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</si>
  <si>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Daily Temperatures</t>
  </si>
  <si>
    <t>Find how many days until warmer temperature</t>
  </si>
  <si>
    <t>Problem: Daily Temperatures. Find how many days until warmer temperature.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</si>
  <si>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Next Greater Element I</t>
  </si>
  <si>
    <t>Find next greater element for each element</t>
  </si>
  <si>
    <t>Problem: Next Greater Element I. Find next greater element for each element.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</si>
  <si>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Next Greater Element II</t>
  </si>
  <si>
    <t>Find next greater element in circular array</t>
  </si>
  <si>
    <t>Problem: Next Greater Element II. Find next greater element in circular array.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</si>
  <si>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Simplify absolute Unix file path using stack</t>
  </si>
  <si>
    <t>Problem: Simplify Path. Simplify absolute Unix file path using stack.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</si>
  <si>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Decode string with nested pattern k[string]</t>
  </si>
  <si>
    <t>Problem: Decode String. Decode string with nested pattern k[string].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</si>
  <si>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Remove K Digits</t>
  </si>
  <si>
    <t>Remove k digits to make smallest possible number</t>
  </si>
  <si>
    <t>Problem: Remove K Digits. Remove k digits to make smallest possible number.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</si>
  <si>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Asteroid Collision</t>
  </si>
  <si>
    <t>Simulate asteroid collisions</t>
  </si>
  <si>
    <t>Problem: Asteroid Collision. Simulate asteroid collisions.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</si>
  <si>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Score of Parentheses</t>
  </si>
  <si>
    <t>Calculate score of balanced parentheses</t>
  </si>
  <si>
    <t>Problem: Score of Parentheses. Calculate score of balanced parentheses. This is a Medium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</si>
  <si>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Find largest rectangle area in histogram bars</t>
  </si>
  <si>
    <t>Problem: Largest Rectangle in Histogram. Find largest rectangle area in histogram bars. This is a Hard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</si>
  <si>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Maximal Rectangle</t>
  </si>
  <si>
    <t>Find largest rectangle containing only 1s in matrix</t>
  </si>
  <si>
    <t>Problem: Maximal Rectangle. Find largest rectangle containing only 1s in matrix. This is a Hard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</si>
  <si>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Basic Calculator</t>
  </si>
  <si>
    <t>Implement calculator for expression with +, -, (, )</t>
  </si>
  <si>
    <t>Problem: Basic Calculator. Implement calculator for expression with +, -, (, ). This is a Hard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</si>
  <si>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Basic Calculator II</t>
  </si>
  <si>
    <t>Implement calculator with +, -, *, /</t>
  </si>
  <si>
    <t>Problem: Basic Calculator II. Implement calculator with +, -, *, /. This is a Hard level problem in the Stack category. Approach: Analyze the problem requirements, identify the appropriate data structure and algorithm, implement the solution efficiently considering time and space complexity. Test with various edge cases including empty inputs, single elements, and large datasets.</t>
  </si>
  <si>
    <t>Implement Queue using Stacks</t>
  </si>
  <si>
    <t>Implement queue using two stacks</t>
  </si>
  <si>
    <t>Problem: Implement Queue using Stacks. Implement queue using two stacks. This is a Easy level problem in the Queue category. Approach: Analyze the problem requirements, identify the appropriate data structure and algorithm, implement the solution efficiently considering time and space complexity. Test with various edge cases including empty inputs, single elements, and large datasets.</t>
  </si>
  <si>
    <t>Queue</t>
  </si>
  <si>
    <t>Number of Recent Calls</t>
  </si>
  <si>
    <t>Count recent requests within time window</t>
  </si>
  <si>
    <t>Problem: Number of Recent Calls. Count recent requests within time window. This is a Easy level problem in the Queue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</si>
  <si>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Circular Queue</t>
  </si>
  <si>
    <t>Design circular queue data structure</t>
  </si>
  <si>
    <t>Problem: Design Circular Queue. Design circular queue data structure. This is a Medium level problem in the Queue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</si>
  <si>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Circular Deque</t>
  </si>
  <si>
    <t>Design circular double-ended queue</t>
  </si>
  <si>
    <t>Problem: Design Circular Deque. Design circular double-ended queue. This is a Medium level problem in the Queue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</si>
  <si>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Front Middle Back Queue</t>
  </si>
  <si>
    <t>Design queue with middle operations</t>
  </si>
  <si>
    <t>Problem: Design Front Middle Back Queue. Design queue with middle operations. This is a Medium level problem in the Queue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</si>
  <si>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Implement Stack using Queues. Implement stack using queue operations. This is a Medium level problem in the Queue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</si>
  <si>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maximum value in each sliding window</t>
  </si>
  <si>
    <t>Problem: Sliding Window Maximum. Find maximum value in each sliding window. This is a Hard level problem in the Queue category. Approach: Analyze the problem requirements, identify the appropriate data structure and algorithm, implement the solution efficiently considering time and space complexity. Test with various edge cases including empty inputs, single elements, and large datasets.</t>
  </si>
  <si>
    <t>Maximum Depth of Binary Tree</t>
  </si>
  <si>
    <t>Find maximum depth/height of binary tree</t>
  </si>
  <si>
    <t>Problem: Maximum Depth of Binary Tree. Find maximum depth/height of binary tree.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</si>
  <si>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Tree</t>
  </si>
  <si>
    <t>Same Tree</t>
  </si>
  <si>
    <t>Check if two binary trees are identical</t>
  </si>
  <si>
    <t>Problem: Same Tree. Check if two binary trees are identical.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</si>
  <si>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Invert Binary Tree</t>
  </si>
  <si>
    <t>Invert/mirror a binary tree</t>
  </si>
  <si>
    <t>Problem: Invert Binary Tree. Invert/mirror a binary tree.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</si>
  <si>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Symmetric Tree</t>
  </si>
  <si>
    <t>Check if tree is mirror of itself</t>
  </si>
  <si>
    <t>Problem: Symmetric Tree. Check if tree is mirror of itself.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</si>
  <si>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Path Sum</t>
  </si>
  <si>
    <t>Check if path exists from root to leaf with given sum</t>
  </si>
  <si>
    <t>Problem: Path Sum. Check if path exists from root to leaf with given sum.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</si>
  <si>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Depth of Binary Tree</t>
  </si>
  <si>
    <t>Find minimum depth from root to leaf</t>
  </si>
  <si>
    <t>Problem: Minimum Depth of Binary Tree. Find minimum depth from root to leaf.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</si>
  <si>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Balanced Binary Tree</t>
  </si>
  <si>
    <t>Check if binary tree is height-balanced</t>
  </si>
  <si>
    <t>Problem: Balanced Binary Tree. Check if binary tree is height-balanced.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</si>
  <si>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Diameter of Binary Tree</t>
  </si>
  <si>
    <t>Find length of longest path between any two nodes</t>
  </si>
  <si>
    <t>Problem: Diameter of Binary Tree. Find length of longest path between any two nodes.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</si>
  <si>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Merge Two Binary Trees</t>
  </si>
  <si>
    <t>Merge two trees by summing overlapping nodes</t>
  </si>
  <si>
    <t>Problem: Merge Two Binary Trees. Merge two trees by summing overlapping nodes.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</si>
  <si>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Subtree of Another Tree</t>
  </si>
  <si>
    <t>Check if tree is subtree of another tree</t>
  </si>
  <si>
    <t>Problem: Subtree of Another Tree. Check if tree is subtree of another tree.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</si>
  <si>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Sum of Left Leaves</t>
  </si>
  <si>
    <t>Calculate sum of all left leaves</t>
  </si>
  <si>
    <t>Problem: Sum of Left Leaves. Calculate sum of all left leaves. This is a Easy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</si>
  <si>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Tree Level Order Traversal</t>
  </si>
  <si>
    <t>Return level order traversal of tree</t>
  </si>
  <si>
    <t>Problem: Binary Tree Level Order Traversal. Return level order traversal of tree.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</si>
  <si>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Tree Zigzag Level Order</t>
  </si>
  <si>
    <t>Return zigzag level order traversal</t>
  </si>
  <si>
    <t>Problem: Binary Tree Zigzag Level Order. Return zigzag level order traversal.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</si>
  <si>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Tree Right Side View</t>
  </si>
  <si>
    <t>Return values of nodes visible from right side</t>
  </si>
  <si>
    <t>Problem: Binary Tree Right Side View. Return values of nodes visible from right side.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</si>
  <si>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Construct Binary Tree from Preorder and Inorder</t>
  </si>
  <si>
    <t>Build tree from traversal arrays</t>
  </si>
  <si>
    <t>Problem: Construct Binary Tree from Preorder and Inorder. Build tree from traversal arrays.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</si>
  <si>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Construct Binary Tree from Inorder and Postorder</t>
  </si>
  <si>
    <t>Problem: Construct Binary Tree from Inorder and Postorder. Build tree from traversal arrays.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</si>
  <si>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Flatten Binary Tree to Linked List</t>
  </si>
  <si>
    <t>Flatten tree to linked list in-place</t>
  </si>
  <si>
    <t>Problem: Flatten Binary Tree to Linked List. Flatten tree to linked list in-place.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</si>
  <si>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Populating Next Right Pointers</t>
  </si>
  <si>
    <t>Connect nodes at same level</t>
  </si>
  <si>
    <t>Problem: Populating Next Right Pointers. Connect nodes at same level.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</si>
  <si>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Lowest Common Ancestor of Binary Tree</t>
  </si>
  <si>
    <t>Find LCA of two nodes in binary tree</t>
  </si>
  <si>
    <t>Problem: Lowest Common Ancestor of Binary Tree. Find LCA of two nodes in binary tree.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</si>
  <si>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Path Sum II</t>
  </si>
  <si>
    <t>Find all root-to-leaf paths with given sum</t>
  </si>
  <si>
    <t>Problem: Path Sum II. Find all root-to-leaf paths with given sum.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</si>
  <si>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Count Good Nodes in Binary Tree</t>
  </si>
  <si>
    <t>Count nodes with no greater value on path from root</t>
  </si>
  <si>
    <t>Problem: Count Good Nodes in Binary Tree. Count nodes with no greater value on path from root.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</si>
  <si>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Kth Smallest Element in BST</t>
  </si>
  <si>
    <t>Find kth smallest element in BST</t>
  </si>
  <si>
    <t>Problem: Kth Smallest Element in BST. Find kth smallest element in BST.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</si>
  <si>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Validate Binary Search Tree</t>
  </si>
  <si>
    <t>Check if tree is valid binary search tree</t>
  </si>
  <si>
    <t>Problem: Validate Binary Search Tree. Check if tree is valid binary search tree.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</si>
  <si>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Lowest Common Ancestor of BST</t>
  </si>
  <si>
    <t>Find LCA in binary search tree</t>
  </si>
  <si>
    <t>Problem: Lowest Common Ancestor of BST. Find LCA in binary search tree.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</si>
  <si>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Delete Node in BST</t>
  </si>
  <si>
    <t>Delete node from binary search tree</t>
  </si>
  <si>
    <t>Problem: Delete Node in BST. Delete node from binary search tree. This is a Medium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</si>
  <si>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Tree Maximum Path Sum</t>
  </si>
  <si>
    <t>Find maximum path sum between any two nodes</t>
  </si>
  <si>
    <t>Problem: Binary Tree Maximum Path Sum. Find maximum path sum between any two nodes. This is a Hard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</si>
  <si>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Serialize and Deserialize Binary Tree</t>
  </si>
  <si>
    <t>Encode tree to string and decode back</t>
  </si>
  <si>
    <t>Problem: Serialize and Deserialize Binary Tree. Encode tree to string and decode back. This is a Hard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</si>
  <si>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Recover Binary Search Tree</t>
  </si>
  <si>
    <t>Fix BST where two nodes are swapped</t>
  </si>
  <si>
    <t>Problem: Recover Binary Search Tree. Fix BST where two nodes are swapped. This is a Hard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</si>
  <si>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Tree Cameras</t>
  </si>
  <si>
    <t>Find minimum cameras needed to monitor all nodes</t>
  </si>
  <si>
    <t>Problem: Binary Tree Cameras. Find minimum cameras needed to monitor all nodes. This is a Hard level problem in the Binary Tree category. Approach: Analyze the problem requirements, identify the appropriate data structure and algorithm, implement the solution efficiently considering time and space complexity. Test with various edge cases including empty inputs, single elements, and large datasets.</t>
  </si>
  <si>
    <t>Find Center of Star Graph</t>
  </si>
  <si>
    <t>Find center node in star graph</t>
  </si>
  <si>
    <t>Problem: Find Center of Star Graph. Find center node in star graph. This is a Easy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</si>
  <si>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Graph</t>
  </si>
  <si>
    <t>Find if Path Exists in Graph</t>
  </si>
  <si>
    <t>Check if path exists between two nodes</t>
  </si>
  <si>
    <t>Problem: Find if Path Exists in Graph. Check if path exists between two nodes. This is a Easy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</si>
  <si>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Number of Islands</t>
  </si>
  <si>
    <t>Count number of islands in 2D grid</t>
  </si>
  <si>
    <t>Problem: Number of Islands. Count number of islands in 2D grid.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</si>
  <si>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Clone Graph</t>
  </si>
  <si>
    <t>Deep copy an undirected graph</t>
  </si>
  <si>
    <t>Problem: Clone Graph. Deep copy an undirected graph.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</si>
  <si>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Course Schedule</t>
  </si>
  <si>
    <t>Determine if all courses can be finished (cycle detection)</t>
  </si>
  <si>
    <t>Problem: Course Schedule. Determine if all courses can be finished (cycle detection).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</si>
  <si>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Course Schedule II</t>
  </si>
  <si>
    <t>Return ordering to finish all courses (topological sort)</t>
  </si>
  <si>
    <t>Problem: Course Schedule II. Return ordering to finish all courses (topological sort).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</si>
  <si>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Pacific Atlantic Water Flow</t>
  </si>
  <si>
    <t>Find cells where water can flow to both oceans</t>
  </si>
  <si>
    <t>Problem: Pacific Atlantic Water Flow. Find cells where water can flow to both oceans.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</si>
  <si>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Number of Connected Components</t>
  </si>
  <si>
    <t>Count connected components in undirected graph</t>
  </si>
  <si>
    <t>Problem: Number of Connected Components. Count connected components in undirected graph.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</si>
  <si>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Graph Valid Tree</t>
  </si>
  <si>
    <t>Check if undirected graph is a valid tree</t>
  </si>
  <si>
    <t>Problem: Graph Valid Tree. Check if undirected graph is a valid tree.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</si>
  <si>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Surrounded Regions</t>
  </si>
  <si>
    <t>Capture regions surrounded by X</t>
  </si>
  <si>
    <t>Problem: Surrounded Regions. Capture regions surrounded by X.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</si>
  <si>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Rotting Oranges</t>
  </si>
  <si>
    <t>Find minimum time for all oranges to rot</t>
  </si>
  <si>
    <t>Problem: Rotting Oranges. Find minimum time for all oranges to rot.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</si>
  <si>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Walls and Gates</t>
  </si>
  <si>
    <t>Fill rooms with distance to nearest gate</t>
  </si>
  <si>
    <t>Problem: Walls and Gates. Fill rooms with distance to nearest gate.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</si>
  <si>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Keys and Rooms</t>
  </si>
  <si>
    <t>Check if all rooms can be visited with keys</t>
  </si>
  <si>
    <t>Problem: Keys and Rooms. Check if all rooms can be visited with keys.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</si>
  <si>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Find Eventual Safe States</t>
  </si>
  <si>
    <t>Find all safe nodes in directed graph</t>
  </si>
  <si>
    <t>Problem: Find Eventual Safe States. Find all safe nodes in directed graph.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</si>
  <si>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All Paths from Source to Target</t>
  </si>
  <si>
    <t>Find all paths from source to target in DAG</t>
  </si>
  <si>
    <t>Problem: All Paths from Source to Target. Find all paths from source to target in DAG.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</si>
  <si>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Height Trees</t>
  </si>
  <si>
    <t>Find root nodes that minimize tree height</t>
  </si>
  <si>
    <t>Problem: Minimum Height Trees. Find root nodes that minimize tree height. This is a Medium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</si>
  <si>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Word Ladder</t>
  </si>
  <si>
    <t>Find shortest transformation sequence between words</t>
  </si>
  <si>
    <t>Problem: Word Ladder. Find shortest transformation sequence between words. This is a Hard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</si>
  <si>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Word Ladder II</t>
  </si>
  <si>
    <t>Find all shortest transformation sequences</t>
  </si>
  <si>
    <t>Problem: Word Ladder II. Find all shortest transformation sequences. This is a Hard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</si>
  <si>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Alien Dictionary</t>
  </si>
  <si>
    <t>Derive character order of alien language</t>
  </si>
  <si>
    <t>Problem: Alien Dictionary. Derive character order of alien language. This is a Hard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</si>
  <si>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Critical Connections in Network</t>
  </si>
  <si>
    <t>Find all critical edges in network</t>
  </si>
  <si>
    <t>Problem: Critical Connections in Network. Find all critical edges in network. This is a Hard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</si>
  <si>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Shortest Path to Get All Keys</t>
  </si>
  <si>
    <t>Find shortest path collecting all keys in grid</t>
  </si>
  <si>
    <t>Problem: Shortest Path to Get All Keys. Find shortest path collecting all keys in grid. This is a Hard level problem in the Graph category. Approach: Analyze the problem requirements, identify the appropriate data structure and algorithm, implement the solution efficiently considering time and space complexity. Test with various edge cases including empty inputs, single elements, and large datasets.</t>
  </si>
  <si>
    <t>Climbing Stairs</t>
  </si>
  <si>
    <t>Count distinct ways to climb n stairs</t>
  </si>
  <si>
    <t>Problem: Climbing Stairs. Count distinct ways to climb n stairs. This is a Easy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</si>
  <si>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Dynamic Programming</t>
  </si>
  <si>
    <t>Min Cost Climbing Stairs</t>
  </si>
  <si>
    <t>Find minimum cost to reach top of stairs</t>
  </si>
  <si>
    <t>Problem: Min Cost Climbing Stairs. Find minimum cost to reach top of stairs. This is a Easy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</si>
  <si>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Fibonacci Number</t>
  </si>
  <si>
    <t>Calculate nth Fibonacci number</t>
  </si>
  <si>
    <t>Problem: Fibonacci Number. Calculate nth Fibonacci number. This is a Easy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</si>
  <si>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Divisor Game</t>
  </si>
  <si>
    <t>Determine winner of divisor game</t>
  </si>
  <si>
    <t>Problem: Divisor Game. Determine winner of divisor game. This is a Easy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</si>
  <si>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maximum profit from one transaction</t>
  </si>
  <si>
    <t>Maximum Subarray</t>
  </si>
  <si>
    <t>Find contiguous subarray with maximum sum</t>
  </si>
  <si>
    <t>Given an integer array nums, find the contiguous subarray (containing at least one number) which has the largest sum and return its sum. A subarray is a contiguous part of an array. Use Kadane's algorithm for O(n) solution. Example: Input: nums = [-2,1,-3,4,-1,2,1,-5,4], Output: 6 (subarray [4,-1,2,1] has the largest sum = 6)</t>
  </si>
  <si>
    <t>Range Sum Query - Immutable</t>
  </si>
  <si>
    <t>Calculate sum of elements between indices</t>
  </si>
  <si>
    <t>Problem: Range Sum Query - Immutable. Calculate sum of elements between indices. This is a Easy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</si>
  <si>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Generate Pascal's triangle rows</t>
  </si>
  <si>
    <t>Problem: Pascal's Triangle. Generate Pascal's triangle rows. This is a Easy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</si>
  <si>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House Robber</t>
  </si>
  <si>
    <t>Rob houses to maximize money without alerting police</t>
  </si>
  <si>
    <t>Problem: House Robber. Rob houses to maximize money without alerting police.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</si>
  <si>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House Robber II</t>
  </si>
  <si>
    <t>Rob circular street houses for maximum money</t>
  </si>
  <si>
    <t>Problem: House Robber II. Rob circular street houses for maximum money.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</si>
  <si>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Coin Change</t>
  </si>
  <si>
    <t>Find minimum coins needed to make amount</t>
  </si>
  <si>
    <t>Problem: Coin Change. Find minimum coins needed to make amount.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</si>
  <si>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Coin Change II</t>
  </si>
  <si>
    <t>Count ways to make amount with coins</t>
  </si>
  <si>
    <t>Problem: Coin Change II. Count ways to make amount with coins.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</si>
  <si>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Increasing Subsequence</t>
  </si>
  <si>
    <t>Find length of longest increasing subsequence</t>
  </si>
  <si>
    <t>Problem: Longest Increasing Subsequence. Find length of longest increasing subsequence.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</si>
  <si>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Common Subsequence</t>
  </si>
  <si>
    <t>Find longest common subsequence of two strings</t>
  </si>
  <si>
    <t>Problem: Longest Common Subsequence. Find longest common subsequence of two strings.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</si>
  <si>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Word Break</t>
  </si>
  <si>
    <t>Check if string can be segmented into dictionary words</t>
  </si>
  <si>
    <t>Problem: Word Break. Check if string can be segmented into dictionary words.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</si>
  <si>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Unique Paths</t>
  </si>
  <si>
    <t>Count paths in grid from top-left to bottom-right</t>
  </si>
  <si>
    <t>Problem: Unique Paths. Count paths in grid from top-left to bottom-right.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</si>
  <si>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Unique Paths II</t>
  </si>
  <si>
    <t>Count paths with obstacles in grid</t>
  </si>
  <si>
    <t>Problem: Unique Paths II. Count paths with obstacles in grid.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</si>
  <si>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Determine if last position is reachable</t>
  </si>
  <si>
    <t>Problem: Jump Game. Determine if last position is reachable.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</si>
  <si>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Jump Game II</t>
  </si>
  <si>
    <t>Find minimum jumps to reach end</t>
  </si>
  <si>
    <t>Problem: Jump Game II. Find minimum jumps to reach end.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</si>
  <si>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Decode Ways</t>
  </si>
  <si>
    <t>Count ways to decode encoded message</t>
  </si>
  <si>
    <t>Problem: Decode Ways. Count ways to decode encoded message.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</si>
  <si>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Partition Equal Subset Sum</t>
  </si>
  <si>
    <t>Check if array can partition into equal sum subsets</t>
  </si>
  <si>
    <t>Problem: Partition Equal Subset Sum. Check if array can partition into equal sum subsets.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</si>
  <si>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Target Sum</t>
  </si>
  <si>
    <t>Count ways to assign +/- to reach target sum</t>
  </si>
  <si>
    <t>Problem: Target Sum. Count ways to assign +/- to reach target sum.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</si>
  <si>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Delete and Earn</t>
  </si>
  <si>
    <t>Maximize points by deleting numbers</t>
  </si>
  <si>
    <t>Problem: Delete and Earn. Maximize points by deleting numbers.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</si>
  <si>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Find subarray with largest product</t>
  </si>
  <si>
    <t>Longest Palindromic Subsequence</t>
  </si>
  <si>
    <t>Find length of longest palindromic subsequence</t>
  </si>
  <si>
    <t>Problem: Longest Palindromic Subsequence. Find length of longest palindromic subsequence.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</si>
  <si>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Palindrome Partitioning II</t>
  </si>
  <si>
    <t>Find minimum cuts for palindrome partitioning</t>
  </si>
  <si>
    <t>Problem: Palindrome Partitioning II. Find minimum cuts for palindrome partitioning.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</si>
  <si>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Path Sum</t>
  </si>
  <si>
    <t>Find path with minimum sum from top-left to bottom-right</t>
  </si>
  <si>
    <t>Problem: Minimum Path Sum. Find path with minimum sum from top-left to bottom-right.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</si>
  <si>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Triangle</t>
  </si>
  <si>
    <t>Find minimum path sum from top to bottom of triangle</t>
  </si>
  <si>
    <t>Problem: Triangle. Find minimum path sum from top to bottom of triangle. This is a Medium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</si>
  <si>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operations to convert one string to another</t>
  </si>
  <si>
    <t>Problem: Edit Distance. Minimum operations to convert one string to another.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</si>
  <si>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Implement regex with . and * support</t>
  </si>
  <si>
    <t>Problem: Regular Expression Matching. Implement regex with . and * support.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</si>
  <si>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Implement wildcard with ? and * support</t>
  </si>
  <si>
    <t>Problem: Wildcard Matching. Implement wildcard with ? and * support.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</si>
  <si>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Burst Balloons</t>
  </si>
  <si>
    <t>Maximize coins by bursting balloons optimally</t>
  </si>
  <si>
    <t>Problem: Burst Balloons. Maximize coins by bursting balloons optimally.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</si>
  <si>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Longest Valid Parentheses. Find length of longest valid parentheses substring.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</si>
  <si>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Distinct Subsequences</t>
  </si>
  <si>
    <t>Count distinct subsequences of t in s</t>
  </si>
  <si>
    <t>Problem: Distinct Subsequences. Count distinct subsequences of t in s.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</si>
  <si>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Interleaving String</t>
  </si>
  <si>
    <t>Check if s3 is interleaving of s1 and s2</t>
  </si>
  <si>
    <t>Problem: Interleaving String. Check if s3 is interleaving of s1 and s2.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</si>
  <si>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Scramble String</t>
  </si>
  <si>
    <t>Check if s2 is scrambled version of s1</t>
  </si>
  <si>
    <t>Problem: Scramble String. Check if s2 is scrambled version of s1.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</si>
  <si>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Best Time to Buy and Sell Stock III</t>
  </si>
  <si>
    <t>Maximum profit with at most 2 transactions</t>
  </si>
  <si>
    <t>Problem: Best Time to Buy and Sell Stock III. Maximum profit with at most 2 transactions.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</si>
  <si>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Best Time to Buy and Sell Stock IV</t>
  </si>
  <si>
    <t>Maximum profit with at most k transactions</t>
  </si>
  <si>
    <t>Problem: Best Time to Buy and Sell Stock IV. Maximum profit with at most k transactions.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</si>
  <si>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Find largest rectangle in binary matrix</t>
  </si>
  <si>
    <t>Problem: Maximal Rectangle. Find largest rectangle in binary matrix. This is a Hard level problem in the Dynamic Programming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</si>
  <si>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Search</t>
  </si>
  <si>
    <t>Implement binary search on sorted array</t>
  </si>
  <si>
    <t>Problem: Binary Search. Implement binary search on sorted array. This is a Easy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</si>
  <si>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Search Insert Position</t>
  </si>
  <si>
    <t>Find index to insert target in sorted array</t>
  </si>
  <si>
    <t>Problem: Search Insert Position. Find index to insert target in sorted array. This is a Easy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</si>
  <si>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First Bad Version</t>
  </si>
  <si>
    <t>Find first bad version using isBadVersion API</t>
  </si>
  <si>
    <t>Problem: First Bad Version. Find first bad version using isBadVersion API. This is a Easy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</si>
  <si>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Sqrt(x)</t>
  </si>
  <si>
    <t>Calculate square root using binary search</t>
  </si>
  <si>
    <t>Problem: Sqrt(x). Calculate square root using binary search. This is a Easy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</si>
  <si>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Valid Perfect Square</t>
  </si>
  <si>
    <t>Check if number is perfect square without sqrt</t>
  </si>
  <si>
    <t>Problem: Valid Perfect Square. Check if number is perfect square without sqrt. This is a Easy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</si>
  <si>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Guess Number Higher or Lower</t>
  </si>
  <si>
    <t>Guess number using guess API</t>
  </si>
  <si>
    <t>Problem: Guess Number Higher or Lower. Guess number using guess API. This is a Easy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</si>
  <si>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Find First and Last Position in Sorted Array</t>
  </si>
  <si>
    <t>Find start and end position of target</t>
  </si>
  <si>
    <t>Problem: Find First and Last Position in Sorted Array. Find start and end position of target.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</si>
  <si>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Search in rotated sorted array</t>
  </si>
  <si>
    <t>Find minimum in rotated array</t>
  </si>
  <si>
    <t>Find Peak Element</t>
  </si>
  <si>
    <t>Find peak element in array</t>
  </si>
  <si>
    <t>Problem: Find Peak Element. Find peak element in array.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</si>
  <si>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Search a 2D Matrix</t>
  </si>
  <si>
    <t>Search for value in 2D matrix</t>
  </si>
  <si>
    <t>Problem: Search a 2D Matrix. Search for value in 2D matrix.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</si>
  <si>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Search a 2D Matrix II</t>
  </si>
  <si>
    <t>Search in matrix sorted row and column-wise</t>
  </si>
  <si>
    <t>Problem: Search a 2D Matrix II. Search in matrix sorted row and column-wise.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</si>
  <si>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Koko Eating Bananas</t>
  </si>
  <si>
    <t>Find minimum eating speed for bananas</t>
  </si>
  <si>
    <t>Problem: Koko Eating Bananas. Find minimum eating speed for bananas.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</si>
  <si>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Capacity to Ship Packages Within D Days</t>
  </si>
  <si>
    <t>Find minimum capacity to ship packages</t>
  </si>
  <si>
    <t>Problem: Capacity to Ship Packages Within D Days. Find minimum capacity to ship packages.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</si>
  <si>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Find Smallest Letter Greater Than Target</t>
  </si>
  <si>
    <t>Find smallest letter greater than target</t>
  </si>
  <si>
    <t>Problem: Find Smallest Letter Greater Than Target. Find smallest letter greater than target.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</si>
  <si>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Time Based Key-Value Store</t>
  </si>
  <si>
    <t>Design time-based key-value store</t>
  </si>
  <si>
    <t>Problem: Time Based Key-Value Store. Design time-based key-value store.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</si>
  <si>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Single Element in Sorted Array</t>
  </si>
  <si>
    <t>Find element appearing once in sorted array</t>
  </si>
  <si>
    <t>Problem: Single Element in Sorted Array. Find element appearing once in sorted array. This is a Medium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</si>
  <si>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Median of Two Sorted Arrays. Find median of two sorted arrays. This is a Hard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</si>
  <si>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Split Array Largest Sum</t>
  </si>
  <si>
    <t>Split array to minimize largest sum</t>
  </si>
  <si>
    <t>Problem: Split Array Largest Sum. Split array to minimize largest sum. This is a Hard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</si>
  <si>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Number of Days to Make m Bouquets</t>
  </si>
  <si>
    <t>Find minimum days to make m bouquets</t>
  </si>
  <si>
    <t>Problem: Minimum Number of Days to Make m Bouquets. Find minimum days to make m bouquets. This is a Hard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</si>
  <si>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Allocate Mailboxes</t>
  </si>
  <si>
    <t>Minimize total distance with k mailboxes</t>
  </si>
  <si>
    <t>Problem: Allocate Mailboxes. Minimize total distance with k mailboxes. This is a Hard level problem in the Binary Search category. Approach: Analyze the problem requirements, identify the appropriate data structure and algorithm, implement the solution efficiently considering time and space complexity. Test with various edge cases including empty inputs, single elements, and large datasets.</t>
  </si>
  <si>
    <t>Kth Largest Element in Stream</t>
  </si>
  <si>
    <t>Design class to find kth largest in stream</t>
  </si>
  <si>
    <t>Problem: Kth Largest Element in Stream. Design class to find kth largest in stream. This is a Easy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</si>
  <si>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Heap</t>
  </si>
  <si>
    <t>Last Stone Weight</t>
  </si>
  <si>
    <t>Simulate stone smashing process</t>
  </si>
  <si>
    <t>Problem: Last Stone Weight. Simulate stone smashing process. This is a Easy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</si>
  <si>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Relative Ranks</t>
  </si>
  <si>
    <t>Assign ranks to athletes</t>
  </si>
  <si>
    <t>Problem: Relative Ranks. Assign ranks to athletes. This is a Easy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</si>
  <si>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Kth Largest Element in Array</t>
  </si>
  <si>
    <t>Find kth largest element in unsorted array</t>
  </si>
  <si>
    <t>Problem: Kth Largest Element in Array. Find kth largest element in unsorted array.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</si>
  <si>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Top K Frequent Elements</t>
  </si>
  <si>
    <t>Find k most frequent elements</t>
  </si>
  <si>
    <t>Problem: Top K Frequent Elements. Find k most frequent elements.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</si>
  <si>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K Closest Points to Origin</t>
  </si>
  <si>
    <t>Find k closest points to origin</t>
  </si>
  <si>
    <t>Problem: K Closest Points to Origin. Find k closest points to origin.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</si>
  <si>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Task Scheduler</t>
  </si>
  <si>
    <t>Schedule tasks with cooling interval</t>
  </si>
  <si>
    <t>Problem: Task Scheduler. Schedule tasks with cooling interval.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</si>
  <si>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Reorganize String</t>
  </si>
  <si>
    <t>Rearrange string so no adjacent same chars</t>
  </si>
  <si>
    <t>Problem: Reorganize String. Rearrange string so no adjacent same chars.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</si>
  <si>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Sort Characters by Frequency</t>
  </si>
  <si>
    <t>Sort characters by frequency</t>
  </si>
  <si>
    <t>Problem: Sort Characters by Frequency. Sort characters by frequency.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</si>
  <si>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Kth Smallest Element in Sorted Matrix</t>
  </si>
  <si>
    <t>Find kth smallest in sorted matrix</t>
  </si>
  <si>
    <t>Problem: Kth Smallest Element in Sorted Matrix. Find kth smallest in sorted matrix.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</si>
  <si>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K Pairs with Smallest Sums</t>
  </si>
  <si>
    <t>Find k pairs with smallest sums</t>
  </si>
  <si>
    <t>Problem: Find K Pairs with Smallest Sums. Find k pairs with smallest sums.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</si>
  <si>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Ugly Number II</t>
  </si>
  <si>
    <t>Find nth ugly number</t>
  </si>
  <si>
    <t>Problem: Ugly Number II. Find nth ugly number. This is a Medium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</si>
  <si>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Median from Data Stream</t>
  </si>
  <si>
    <t>Design data structure to find median in stream</t>
  </si>
  <si>
    <t>Problem: Find Median from Data Stream. Design data structure to find median in stream. This is a Hard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</si>
  <si>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Merge k sorted lists using heap</t>
  </si>
  <si>
    <t>Problem: Merge K Sorted Lists. Merge k sorted lists using heap. This is a Hard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</si>
  <si>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Sliding Window Median</t>
  </si>
  <si>
    <t>Find median in each sliding window</t>
  </si>
  <si>
    <t>Problem: Sliding Window Median. Find median in each sliding window. This is a Hard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</si>
  <si>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IPO</t>
  </si>
  <si>
    <t>Maximize capital with k projects</t>
  </si>
  <si>
    <t>Problem: IPO. Maximize capital with k projects. This is a Hard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</si>
  <si>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Smallest Range Covering Elements from K Lists</t>
  </si>
  <si>
    <t>Find smallest range from k lists</t>
  </si>
  <si>
    <t>Problem: Smallest Range Covering Elements from K Lists. Find smallest range from k lists. This is a Hard level problem in the Heap category. Approach: Analyze the problem requirements, identify the appropriate data structure and algorithm, implement the solution efficiently considering time and space complexity. Test with various edge cases including empty inputs, single elements, and large datasets.</t>
  </si>
  <si>
    <t>Generate all valid parentheses combinations</t>
  </si>
  <si>
    <t>Problem: Generate Parentheses. Generate all valid parentheses combinations. This is a Easy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</si>
  <si>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Backtracking</t>
  </si>
  <si>
    <t>Subsets</t>
  </si>
  <si>
    <t>Generate all possible subsets of array</t>
  </si>
  <si>
    <t>Problem: Subsets. Generate all possible subsets of array.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</si>
  <si>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Subsets II</t>
  </si>
  <si>
    <t>Generate subsets handling duplicate elements</t>
  </si>
  <si>
    <t>Problem: Subsets II. Generate subsets handling duplicate elements.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</si>
  <si>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Permutations</t>
  </si>
  <si>
    <t>Generate all permutations of array</t>
  </si>
  <si>
    <t>Problem: Permutations. Generate all permutations of array.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</si>
  <si>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Permutations II</t>
  </si>
  <si>
    <t>Generate permutations with duplicates</t>
  </si>
  <si>
    <t>Problem: Permutations II. Generate permutations with duplicates.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</si>
  <si>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Combination Sum</t>
  </si>
  <si>
    <t>Find combinations that sum to target</t>
  </si>
  <si>
    <t>Problem: Combination Sum. Find combinations that sum to target.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</si>
  <si>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Combination Sum II</t>
  </si>
  <si>
    <t>Find combinations with duplicates summing to target</t>
  </si>
  <si>
    <t>Problem: Combination Sum II. Find combinations with duplicates summing to target.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</si>
  <si>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Combination Sum III</t>
  </si>
  <si>
    <t>Find k numbers summing to n</t>
  </si>
  <si>
    <t>Problem: Combination Sum III. Find k numbers summing to n.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</si>
  <si>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Combinations</t>
  </si>
  <si>
    <t>Generate all k-combinations of n numbers</t>
  </si>
  <si>
    <t>Problem: Combinations. Generate all k-combinations of n numbers.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</si>
  <si>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Generate letter combinations from digits</t>
  </si>
  <si>
    <t>Problem: Letter Combinations of Phone Number. Generate letter combinations from digits.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</si>
  <si>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Palindrome Partitioning</t>
  </si>
  <si>
    <t>Partition string into palindrome substrings</t>
  </si>
  <si>
    <t>Problem: Palindrome Partitioning. Partition string into palindrome substrings.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</si>
  <si>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Word Search</t>
  </si>
  <si>
    <t>Search for word in 2D board</t>
  </si>
  <si>
    <t>Problem: Word Search. Search for word in 2D board.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</si>
  <si>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Restore IP Addresses</t>
  </si>
  <si>
    <t>Generate all valid IP addresses from string</t>
  </si>
  <si>
    <t>Problem: Restore IP Addresses. Generate all valid IP addresses from string.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</si>
  <si>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Assign +/- signs to reach target</t>
  </si>
  <si>
    <t>Problem: Target Sum. Assign +/- signs to reach target. This is a Medium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</si>
  <si>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N-Queens</t>
  </si>
  <si>
    <t>Place n queens on n×n chessboard</t>
  </si>
  <si>
    <t>Problem: N-Queens. Place n queens on n×n chessboard. This is a Hard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</si>
  <si>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N-Queens II</t>
  </si>
  <si>
    <t>Count solutions for n queens problem</t>
  </si>
  <si>
    <t>Problem: N-Queens II. Count solutions for n queens problem. This is a Hard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</si>
  <si>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Sudoku Solver</t>
  </si>
  <si>
    <t>Solve sudoku puzzle using backtracking</t>
  </si>
  <si>
    <t>Problem: Sudoku Solver. Solve sudoku puzzle using backtracking. This is a Hard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</si>
  <si>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Word Search II</t>
  </si>
  <si>
    <t>Find all words from dictionary in board</t>
  </si>
  <si>
    <t>Problem: Word Search II. Find all words from dictionary in board. This is a Hard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</si>
  <si>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cuts for palindrome partitioning</t>
  </si>
  <si>
    <t>Problem: Palindrome Partitioning II. Minimum cuts for palindrome partitioning. This is a Hard level problem in the Backtracking category. Approach: Analyze the problem requirements, identify the appropriate data structure and algorithm, implement the solution efficiently considering time and space complexity. Test with various edge cases including empty inputs, single elements, and large datasets.</t>
  </si>
  <si>
    <t>Number of 1 Bits</t>
  </si>
  <si>
    <t>Count number of set bits in integer</t>
  </si>
  <si>
    <t>Problem: Number of 1 Bits. Count number of set bits in integer.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</si>
  <si>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Bit Manipulation</t>
  </si>
  <si>
    <t>Hamming Distance</t>
  </si>
  <si>
    <t>Calculate Hamming distance between two integers</t>
  </si>
  <si>
    <t>Problem: Hamming Distance. Calculate Hamming distance between two integers.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</si>
  <si>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Reverse Bits</t>
  </si>
  <si>
    <t>Reverse bits of 32-bit unsigned integer</t>
  </si>
  <si>
    <t>Problem: Reverse Bits. Reverse bits of 32-bit unsigned integer.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</si>
  <si>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Power of Two</t>
  </si>
  <si>
    <t>Check if integer is power of two</t>
  </si>
  <si>
    <t>Problem: Power of Two. Check if integer is power of two.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</si>
  <si>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Power of Four</t>
  </si>
  <si>
    <t>Check if integer is power of four</t>
  </si>
  <si>
    <t>Problem: Power of Four. Check if integer is power of four.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</si>
  <si>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Find number appearing once when others appear twice</t>
  </si>
  <si>
    <t>Problem: Single Number. Find number appearing once when others appear twice.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</si>
  <si>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Missing Number</t>
  </si>
  <si>
    <t>Find missing number in array 0 to n</t>
  </si>
  <si>
    <t>Problem: Missing Number. Find missing number in array 0 to n.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</si>
  <si>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Binary Number with Alternating Bits</t>
  </si>
  <si>
    <t>Check if binary has alternating 0s and 1s</t>
  </si>
  <si>
    <t>Problem: Binary Number with Alternating Bits. Check if binary has alternating 0s and 1s. This is a Easy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</si>
  <si>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Single Number II</t>
  </si>
  <si>
    <t>Find single number when others appear three times</t>
  </si>
  <si>
    <t>Problem: Single Number II. Find single number when others appear three times.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</si>
  <si>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Single Number III</t>
  </si>
  <si>
    <t>Find two numbers appearing once</t>
  </si>
  <si>
    <t>Problem: Single Number III. Find two numbers appearing once.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</si>
  <si>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Counting Bits</t>
  </si>
  <si>
    <t>Count set bits for range 0 to n</t>
  </si>
  <si>
    <t>Problem: Counting Bits. Count set bits for range 0 to n.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</si>
  <si>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Sum of Two Integers</t>
  </si>
  <si>
    <t>Add two integers without + or - operators</t>
  </si>
  <si>
    <t>Problem: Sum of Two Integers. Add two integers without + or - operators.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</si>
  <si>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Bitwise AND of Numbers Range</t>
  </si>
  <si>
    <t>Find bitwise AND of range [left, right]</t>
  </si>
  <si>
    <t>Problem: Bitwise AND of Numbers Range. Find bitwise AND of range [left, right].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</si>
  <si>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Divide Two Integers</t>
  </si>
  <si>
    <t>Divide without using *, /, or % operators</t>
  </si>
  <si>
    <t>Problem: Divide Two Integers. Divide without using *, /, or % operators.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</si>
  <si>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Gray Code</t>
  </si>
  <si>
    <t>Generate Gray code sequence</t>
  </si>
  <si>
    <t>Problem: Gray Code. Generate Gray code sequence.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</si>
  <si>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UTF-8 Validation</t>
  </si>
  <si>
    <t>Validate if data is valid UTF-8 encoding</t>
  </si>
  <si>
    <t>Problem: UTF-8 Validation. Validate if data is valid UTF-8 encoding. This is a Medium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</si>
  <si>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Maximum XOR of Two Numbers</t>
  </si>
  <si>
    <t>Find maximum XOR of two numbers in array</t>
  </si>
  <si>
    <t>Problem: Maximum XOR of Two Numbers. Find maximum XOR of two numbers in array. This is a Hard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</si>
  <si>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Concatenated Words</t>
  </si>
  <si>
    <t>Find concatenated words from list</t>
  </si>
  <si>
    <t>Problem: Concatenated Words. Find concatenated words from list. This is a Hard level problem in the Bit Manipulation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</si>
  <si>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Word in Dictionary</t>
  </si>
  <si>
    <t>Find longest word built one char at time</t>
  </si>
  <si>
    <t>Problem: Longest Word in Dictionary. Find longest word built one char at time. This is a Easy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</si>
  <si>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Trie</t>
  </si>
  <si>
    <t>Implement Trie (Prefix Tree)</t>
  </si>
  <si>
    <t>Design and implement prefix tree</t>
  </si>
  <si>
    <t>Problem: Implement Trie (Prefix Tree). Design and implement prefix tree. This is a Medium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</si>
  <si>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Add and Search Words</t>
  </si>
  <si>
    <t>Data structure with wildcard search</t>
  </si>
  <si>
    <t>Problem: Design Add and Search Words. Data structure with wildcard search. This is a Medium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</si>
  <si>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Replace Words</t>
  </si>
  <si>
    <t>Replace words with shortest root</t>
  </si>
  <si>
    <t>Problem: Replace Words. Replace words with shortest root. This is a Medium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</si>
  <si>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Map Sum Pairs</t>
  </si>
  <si>
    <t>Design data structure for prefix sum</t>
  </si>
  <si>
    <t>Problem: Map Sum Pairs. Design data structure for prefix sum. This is a Medium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</si>
  <si>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Implement Magic Dictionary</t>
  </si>
  <si>
    <t>Build dictionary with one character difference search</t>
  </si>
  <si>
    <t>Problem: Implement Magic Dictionary. Build dictionary with one character difference search. This is a Medium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</si>
  <si>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Find all words from dictionary in grid</t>
  </si>
  <si>
    <t>Problem: Word Search II. Find all words from dictionary in grid. This is a Hard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</si>
  <si>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Palindrome Pairs</t>
  </si>
  <si>
    <t>Find all pairs forming palindromes</t>
  </si>
  <si>
    <t>Problem: Palindrome Pairs. Find all pairs forming palindromes. This is a Hard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</si>
  <si>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Stream of Characters</t>
  </si>
  <si>
    <t>Query stream for suffix in word list</t>
  </si>
  <si>
    <t>Problem: Stream of Characters. Query stream for suffix in word list. This is a Hard level problem in the Trie category. Approach: Analyze the problem requirements, identify the appropriate data structure and algorithm, implement the solution efficiently considering time and space complexity. Test with various edge cases including empty inputs, single elements, and large datasets.</t>
  </si>
  <si>
    <t>Palindrome Number</t>
  </si>
  <si>
    <t>Check if integer is palindrome</t>
  </si>
  <si>
    <t>Problem: Palindrome Number. Check if integer is palindrome.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</si>
  <si>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Math</t>
  </si>
  <si>
    <t>Problem: Roman to Integer. Convert Roman numeral to integer.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</si>
  <si>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Happy Number</t>
  </si>
  <si>
    <t>Determine if number eventually reaches 1</t>
  </si>
  <si>
    <t>Problem: Happy Number. Determine if number eventually reaches 1.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</si>
  <si>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Ugly Number</t>
  </si>
  <si>
    <t>Check if number is ugly (only 2, 3, 5 factors)</t>
  </si>
  <si>
    <t>Problem: Ugly Number. Check if number is ugly (only 2, 3, 5 factors).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</si>
  <si>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Add Digits</t>
  </si>
  <si>
    <t>Repeatedly add digits until single digit</t>
  </si>
  <si>
    <t>Problem: Add Digits. Repeatedly add digits until single digit.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</si>
  <si>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Excel Sheet Column Number</t>
  </si>
  <si>
    <t>Convert Excel column to number</t>
  </si>
  <si>
    <t>Problem: Excel Sheet Column Number. Convert Excel column to number.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</si>
  <si>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Power of Three</t>
  </si>
  <si>
    <t>Check if integer is power of three</t>
  </si>
  <si>
    <t>Problem: Power of Three. Check if integer is power of three.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</si>
  <si>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Count Primes</t>
  </si>
  <si>
    <t>Count prime numbers less than n</t>
  </si>
  <si>
    <t>Problem: Count Primes. Count prime numbers less than n.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</si>
  <si>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Fizz Buzz</t>
  </si>
  <si>
    <t>Return FizzBuzz array</t>
  </si>
  <si>
    <t>Problem: Fizz Buzz. Return FizzBuzz array.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</si>
  <si>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Reverse Integer</t>
  </si>
  <si>
    <t>Reverse digits of integer</t>
  </si>
  <si>
    <t>Problem: Reverse Integer. Reverse digits of integer. This is a Easy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</si>
  <si>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Integer to Roman</t>
  </si>
  <si>
    <t>Convert integer to Roman numeral</t>
  </si>
  <si>
    <t>Problem: Integer to Roman. Convert integer to Roman numeral.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</si>
  <si>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Pow(x, n)</t>
  </si>
  <si>
    <t>Calculate x raised to power n</t>
  </si>
  <si>
    <t>Problem: Pow(x, n). Calculate x raised to power n.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</si>
  <si>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Calculate square root integer</t>
  </si>
  <si>
    <t>Problem: Sqrt(x). Calculate square root integer.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</si>
  <si>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Factorial Trailing Zeroes</t>
  </si>
  <si>
    <t>Count trailing zeroes in n factorial</t>
  </si>
  <si>
    <t>Problem: Factorial Trailing Zeroes. Count trailing zeroes in n factorial.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</si>
  <si>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Convert number to Excel column</t>
  </si>
  <si>
    <t>Problem: Excel Sheet Column Title. Convert number to Excel column.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</si>
  <si>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Fraction to Recurring Decimal</t>
  </si>
  <si>
    <t>Convert fraction to decimal string</t>
  </si>
  <si>
    <t>Problem: Fraction to Recurring Decimal. Convert fraction to decimal string.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</si>
  <si>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Divide without using *, /, % operators</t>
  </si>
  <si>
    <t>Problem: Divide Two Integers. Divide without using *, /, % operators.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</si>
  <si>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Multiply Strings. Multiply two non-negative integers as strings.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</si>
  <si>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Permutation Sequence</t>
  </si>
  <si>
    <t>Find kth permutation sequence</t>
  </si>
  <si>
    <t>Problem: Permutation Sequence. Find kth permutation sequence.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</si>
  <si>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Ugly Number II. Find nth ugly number.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</si>
  <si>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Perfect Squares</t>
  </si>
  <si>
    <t>Find minimum perfect squares summing to n</t>
  </si>
  <si>
    <t>Problem: Perfect Squares. Find minimum perfect squares summing to n. This is a Medium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</si>
  <si>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Integer to English Words</t>
  </si>
  <si>
    <t>Convert integer to English words</t>
  </si>
  <si>
    <t>Problem: Integer to English Words. Convert integer to English words. This is a Hard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</si>
  <si>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Max Points on a Line</t>
  </si>
  <si>
    <t>Find max points on same straight line</t>
  </si>
  <si>
    <t>Problem: Max Points on a Line. Find max points on same straight line. This is a Hard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</si>
  <si>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Rectangle Area</t>
  </si>
  <si>
    <t>Calculate total area of two rectangles</t>
  </si>
  <si>
    <t>Problem: Rectangle Area. Calculate total area of two rectangles. This is a Hard level problem in the Math category. Approach: Analyze the problem requirements, identify the appropriate data structure and algorithm, implement the solution efficiently considering time and space complexity. Test with various edge cases including empty inputs, single elements, and large datasets.</t>
  </si>
  <si>
    <t>Assign Cookies</t>
  </si>
  <si>
    <t>Assign cookies to maximize content children</t>
  </si>
  <si>
    <t>Problem: Assign Cookies. Assign cookies to maximize content children. This is a Easy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</si>
  <si>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Greedy</t>
  </si>
  <si>
    <t>Lemonade Change</t>
  </si>
  <si>
    <t>Check if correct change can be given</t>
  </si>
  <si>
    <t>Problem: Lemonade Change. Check if correct change can be given. This is a Easy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</si>
  <si>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Best Time to Buy and Sell Stock II</t>
  </si>
  <si>
    <t>Maximum profit with multiple transactions</t>
  </si>
  <si>
    <t>Problem: Best Time to Buy and Sell Stock II. Maximum profit with multiple transactions. This is a Easy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</si>
  <si>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Check if last position reachable</t>
  </si>
  <si>
    <t>Problem: Jump Game. Check if last position reachable.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</si>
  <si>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Jump Game II. Find minimum jumps to reach end.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</si>
  <si>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Gas Station</t>
  </si>
  <si>
    <t>Find starting station for circular route</t>
  </si>
  <si>
    <t>Problem: Gas Station. Find starting station for circular route.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</si>
  <si>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Partition Labels</t>
  </si>
  <si>
    <t>Partition string into maximum parts</t>
  </si>
  <si>
    <t>Problem: Partition Labels. Partition string into maximum parts.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</si>
  <si>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Non-overlapping Intervals</t>
  </si>
  <si>
    <t>Remove minimum intervals for non-overlap</t>
  </si>
  <si>
    <t>Given an array of intervals intervals where intervals[i] = [starti, endi], return the minimum number of intervals you need to remove to make the rest of the intervals non-overlapping. Example: Input: intervals = [[1,2],[2,3],[3,4],[1,3]], Output: 1. Remove [1,3] to make the rest non-overlapping. Sort by end time and use greedy approach.</t>
  </si>
  <si>
    <t>Minimum Number of Arrows</t>
  </si>
  <si>
    <t>Burst all balloons with minimum arrows</t>
  </si>
  <si>
    <t>Problem: Minimum Number of Arrows. Burst all balloons with minimum arrows.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</si>
  <si>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Queue Reconstruction by Height</t>
  </si>
  <si>
    <t>Reconstruct queue from height pairs</t>
  </si>
  <si>
    <t>Problem: Queue Reconstruction by Height. Reconstruct queue from height pairs.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</si>
  <si>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Schedule tasks with cooldown period</t>
  </si>
  <si>
    <t>Problem: Task Scheduler. Schedule tasks with cooldown period.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</si>
  <si>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Split Array into Consecutive Subsequences</t>
  </si>
  <si>
    <t>Split into consecutive subsequences</t>
  </si>
  <si>
    <t>Problem: Split Array into Consecutive Subsequences. Split into consecutive subsequences.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</si>
  <si>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Hand of Straights</t>
  </si>
  <si>
    <t>Check if hand can form consecutive groups</t>
  </si>
  <si>
    <t>Problem: Hand of Straights. Check if hand can form consecutive groups. This is a Medium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</si>
  <si>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Candy</t>
  </si>
  <si>
    <t>Distribute minimum candies satisfying conditions</t>
  </si>
  <si>
    <t>Problem: Candy. Distribute minimum candies satisfying conditions. This is a Hard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</si>
  <si>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Maximize capital selecting k projects</t>
  </si>
  <si>
    <t>Problem: IPO. Maximize capital selecting k projects. This is a Hard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</si>
  <si>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Cost to Hire K Workers</t>
  </si>
  <si>
    <t>Find minimum cost to hire k workers</t>
  </si>
  <si>
    <t>Problem: Minimum Cost to Hire K Workers. Find minimum cost to hire k workers. This is a Hard level problem in the Greedy category. Approach: Analyze the problem requirements, identify the appropriate data structure and algorithm, implement the solution efficiently considering time and space complexity. Test with various edge cases including empty inputs, single elements, and large datasets.</t>
  </si>
  <si>
    <t>Maximum Average Subarray I</t>
  </si>
  <si>
    <t>Find maximum average of k consecutive elements</t>
  </si>
  <si>
    <t>Problem: Maximum Average Subarray I. Find maximum average of k consecutive elements. This is a Easy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</si>
  <si>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Sliding Window</t>
  </si>
  <si>
    <t>Contains Duplicate II</t>
  </si>
  <si>
    <t>Check if duplicate exists within k distance</t>
  </si>
  <si>
    <t>Problem: Contains Duplicate II. Check if duplicate exists within k distance. This is a Easy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</si>
  <si>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Find longest substring without repeating chars</t>
  </si>
  <si>
    <t>Longest substring with k replacements</t>
  </si>
  <si>
    <t>Permutation in String</t>
  </si>
  <si>
    <t>Check if permutation exists as substring</t>
  </si>
  <si>
    <t>Problem: Permutation in String. Check if permutation exists as substring. This is a Medium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</si>
  <si>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Find All Anagrams in String</t>
  </si>
  <si>
    <t>Find all anagram start indices</t>
  </si>
  <si>
    <t>Problem: Find All Anagrams in String. Find all anagram start indices. This is a Medium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</si>
  <si>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minimum window containing all characters</t>
  </si>
  <si>
    <t>Max Consecutive Ones III</t>
  </si>
  <si>
    <t>Find max consecutive 1s after flipping k 0s</t>
  </si>
  <si>
    <t>Problem: Max Consecutive Ones III. Find max consecutive 1s after flipping k 0s. This is a Medium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</si>
  <si>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Fruit Into Baskets</t>
  </si>
  <si>
    <t>Collect max fruits with two types</t>
  </si>
  <si>
    <t>Problem: Fruit Into Baskets. Collect max fruits with two types. This is a Medium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</si>
  <si>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Turbulent Subarray</t>
  </si>
  <si>
    <t>Find longest turbulent subarray</t>
  </si>
  <si>
    <t>Problem: Longest Turbulent Subarray. Find longest turbulent subarray. This is a Medium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</si>
  <si>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Minimum Size Subarray Sum</t>
  </si>
  <si>
    <t>Find minimal length subarray with sum &gt;= target</t>
  </si>
  <si>
    <t>Problem: Minimum Size Subarray Sum. Find minimal length subarray with sum &gt;= target. This is a Medium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</si>
  <si>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Grumpy Bookstore Owner</t>
  </si>
  <si>
    <t>Maximize satisfied customers</t>
  </si>
  <si>
    <t>Problem: Grumpy Bookstore Owner. Maximize satisfied customers. This is a Medium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</si>
  <si>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maximum in each window of size k</t>
  </si>
  <si>
    <t>Problem: Sliding Window Maximum. Find maximum in each window of size k. This is a Hard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</si>
  <si>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minimum window with all target chars</t>
  </si>
  <si>
    <t>Substring with Concatenation of All Words</t>
  </si>
  <si>
    <t>Find substrings with word concatenations</t>
  </si>
  <si>
    <t>Problem: Substring with Concatenation of All Words. Find substrings with word concatenations. This is a Hard level problem in the Sliding Window category. Approach: Analyze the problem requirements, identify the appropriate data structure and algorithm, implement the solution efficiently considering time and space complexity. Test with various edge cases including empty inputs, single elements, and large datasets.</t>
  </si>
  <si>
    <t>Two Sum II</t>
  </si>
  <si>
    <t>Find two numbers summing to target in sorted array</t>
  </si>
  <si>
    <t>Problem: Two Sum II. Find two numbers summing to target in sorted array. This is a Easy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</si>
  <si>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Two Pointers</t>
  </si>
  <si>
    <t>Remove duplicates in-place</t>
  </si>
  <si>
    <t>Problem: Remove Duplicates from Sorted Array. Remove duplicates in-place. This is a Easy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</si>
  <si>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Remove Element</t>
  </si>
  <si>
    <t>Remove all instances of value in-place</t>
  </si>
  <si>
    <t>Problem: Remove Element. Remove all instances of value in-place. This is a Easy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</si>
  <si>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Move zeroes to end maintaining order</t>
  </si>
  <si>
    <t>Problem: Move Zeroes. Move zeroes to end maintaining order. This is a Easy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</si>
  <si>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Reverse string in-place</t>
  </si>
  <si>
    <t>Problem: Reverse String. Reverse string in-place. This is a Easy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</si>
  <si>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Check if string is palindrome</t>
  </si>
  <si>
    <t>Intersection of Two Arrays</t>
  </si>
  <si>
    <t>Find intersection of two arrays</t>
  </si>
  <si>
    <t>Problem: Intersection of Two Arrays. Find intersection of two arrays. This is a Easy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</si>
  <si>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Squares of Sorted Array</t>
  </si>
  <si>
    <t>Return sorted squares of sorted array</t>
  </si>
  <si>
    <t>Problem: Squares of Sorted Array. Return sorted squares of sorted array. This is a Easy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</si>
  <si>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Find triplets summing to zero</t>
  </si>
  <si>
    <t>3Sum Closest</t>
  </si>
  <si>
    <t>Find triplet with sum closest to target</t>
  </si>
  <si>
    <t>Problem: 3Sum Closest. Find triplet with sum closest to target. This is a Medium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</si>
  <si>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4Sum</t>
  </si>
  <si>
    <t>Find quadruplets summing to target</t>
  </si>
  <si>
    <t>Problem: 4Sum. Find quadruplets summing to target. This is a Medium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</si>
  <si>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max area water container</t>
  </si>
  <si>
    <t>Sort array of 0, 1, 2 in-place</t>
  </si>
  <si>
    <t>Problem: Sort Colors. Sort array of 0, 1, 2 in-place. This is a Medium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</si>
  <si>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minimum length subarray with sum &gt;= target</t>
  </si>
  <si>
    <t>Problem: Minimum Size Subarray Sum. Find minimum length subarray with sum &gt;= target. This is a Medium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</si>
  <si>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Find next lexicographically greater permutation</t>
  </si>
  <si>
    <t>Problem: Next Permutation. Find next lexicographically greater permutation. This is a Medium level problem in the Two Pointers category. Approach: Analyze the problem requirements, identify the appropriate data structure and algorithm, implement the solution efficiently considering time and space complexity. Test with various edge cases including empty inputs, single elements, and large datasets.</t>
  </si>
  <si>
    <t>Rotate array to right by k steps</t>
  </si>
  <si>
    <t>Calculate trapped rainwater</t>
  </si>
  <si>
    <t>Find minimum window with all chars</t>
  </si>
  <si>
    <t>Merge two sorted arrays in-place</t>
  </si>
  <si>
    <t>Problem: Merge Sorted Array. Merge two sorted arrays in-place. This is a Easy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</si>
  <si>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Sorting</t>
  </si>
  <si>
    <t>Sort Array By Parity</t>
  </si>
  <si>
    <t>Move even numbers before odd numbers</t>
  </si>
  <si>
    <t>Problem: Sort Array By Parity. Move even numbers before odd numbers. This is a Easy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</si>
  <si>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Relative Sort Array</t>
  </si>
  <si>
    <t>Sort array according to another array</t>
  </si>
  <si>
    <t>Problem: Relative Sort Array. Sort array according to another array. This is a Easy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</si>
  <si>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Height Checker</t>
  </si>
  <si>
    <t>Count students not in correct positions</t>
  </si>
  <si>
    <t>Problem: Height Checker. Count students not in correct positions. This is a Easy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</si>
  <si>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Sort array of 0s, 1s, 2s in one pass</t>
  </si>
  <si>
    <t>Problem: Sort Colors. Sort array of 0s, 1s, 2s in one pass.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</si>
  <si>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Sort linked list in O(n log n)</t>
  </si>
  <si>
    <t>Problem: Sort List. Sort linked list in O(n log n).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</si>
  <si>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Insertion Sort List. Sort linked list using insertion sort.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</si>
  <si>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Largest Number</t>
  </si>
  <si>
    <t>Arrange numbers to form largest number</t>
  </si>
  <si>
    <t>Problem: Largest Number. Arrange numbers to form largest number.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</si>
  <si>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Wiggle Sort</t>
  </si>
  <si>
    <t>Reorder array in wiggle pattern</t>
  </si>
  <si>
    <t>Problem: Wiggle Sort. Reorder array in wiggle pattern.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</si>
  <si>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Top K Frequent Elements. Find k most frequent elements.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</si>
  <si>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Kth Largest Element</t>
  </si>
  <si>
    <t>Find kth largest element efficiently</t>
  </si>
  <si>
    <t>Problem: Kth Largest Element. Find kth largest element efficiently.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</si>
  <si>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Meeting Rooms</t>
  </si>
  <si>
    <t>Check if person can attend all meetings</t>
  </si>
  <si>
    <t>Problem: Meeting Rooms. Check if person can attend all meetings.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</si>
  <si>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Meeting Rooms II</t>
  </si>
  <si>
    <t>Find minimum meeting rooms needed</t>
  </si>
  <si>
    <t>Problem: Meeting Rooms II. Find minimum meeting rooms needed. This is a Medium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</si>
  <si>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Merge overlapping intervals</t>
  </si>
  <si>
    <t>Count of Smaller Numbers After Self</t>
  </si>
  <si>
    <t>Count smaller numbers after each element</t>
  </si>
  <si>
    <t>Problem: Count of Smaller Numbers After Self. Count smaller numbers after each element. This is a Hard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</si>
  <si>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Reverse Pairs</t>
  </si>
  <si>
    <t>Count reverse pairs in array</t>
  </si>
  <si>
    <t>Problem: Reverse Pairs. Count reverse pairs in array. This is a Hard level problem in the Sorting category. Approach: Analyze the problem requirements, identify the appropriate data structure and algorithm, implement the solution efficiently considering time and space complexity. Test with various edge cases including empty inputs, single elements, and large datasets.</t>
  </si>
  <si>
    <t>Check if valid path exists</t>
  </si>
  <si>
    <t>Problem: Find if Path Exists in Graph. Check if valid path exists. This is a Easy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</si>
  <si>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Union Find</t>
  </si>
  <si>
    <t>Problem: Number of Connected Components. Count connected components in undirected graph.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</si>
  <si>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Check if edges form valid tree</t>
  </si>
  <si>
    <t>Problem: Graph Valid Tree. Check if edges form valid tree.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</si>
  <si>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Redundant Connection</t>
  </si>
  <si>
    <t>Find edge that creates cycle</t>
  </si>
  <si>
    <t>Problem: Redundant Connection. Find edge that creates cycle.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</si>
  <si>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Accounts Merge</t>
  </si>
  <si>
    <t>Merge accounts belonging to same person</t>
  </si>
  <si>
    <t>Problem: Accounts Merge. Merge accounts belonging to same person.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</si>
  <si>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Most Stones Removed</t>
  </si>
  <si>
    <t>Find maximum stones that can be removed</t>
  </si>
  <si>
    <t>Problem: Most Stones Removed. Find maximum stones that can be removed.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</si>
  <si>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Number of Provinces</t>
  </si>
  <si>
    <t>Count number of provinces in graph</t>
  </si>
  <si>
    <t>Problem: Number of Provinces. Count number of provinces in graph.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</si>
  <si>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Satisfiability of Equality Equations</t>
  </si>
  <si>
    <t>Check if equations are satisfiable</t>
  </si>
  <si>
    <t>Problem: Satisfiability of Equality Equations. Check if equations are satisfiable.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</si>
  <si>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Smallest String with Swaps</t>
  </si>
  <si>
    <t>Find lexicographically smallest string</t>
  </si>
  <si>
    <t>Problem: Smallest String with Swaps. Find lexicographically smallest string. This is a Medium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</si>
  <si>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Number of Islands II</t>
  </si>
  <si>
    <t>Count islands after adding land</t>
  </si>
  <si>
    <t>Problem: Number of Islands II. Count islands after adding land. This is a Hard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</si>
  <si>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Optimize Water Distribution</t>
  </si>
  <si>
    <t>Find minimum cost for water distribution</t>
  </si>
  <si>
    <t>Problem: Optimize Water Distribution. Find minimum cost for water distribution. This is a Hard level problem in the Union Find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</si>
  <si>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HashSet</t>
  </si>
  <si>
    <t>Design HashSet without built-in library</t>
  </si>
  <si>
    <t>Problem: Design HashSet. Design HashSet without built-in library. This is a Easy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</si>
  <si>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t>
  </si>
  <si>
    <t>Design HashMap</t>
  </si>
  <si>
    <t>Design HashMap without built-in library</t>
  </si>
  <si>
    <t>Problem: Design HashMap. Design HashMap without built-in library. This is a Easy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</si>
  <si>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Logger Rate Limiter</t>
  </si>
  <si>
    <t>Design logger with rate limiting</t>
  </si>
  <si>
    <t>Problem: Logger Rate Limiter. Design logger with rate limiting. This is a Easy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</si>
  <si>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stack with min operation in O(1)</t>
  </si>
  <si>
    <t>Problem: Min Stack. Design stack with min operation in O(1). This is a Easy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</si>
  <si>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Least Recently Used cache</t>
  </si>
  <si>
    <t>Problem: LRU Cache. Design Least Recently Used cache.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</si>
  <si>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Problem: Design Circular Queue. Design circular queue data structure.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</si>
  <si>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Hit Counter</t>
  </si>
  <si>
    <t>Design hit counter for last 5 minutes</t>
  </si>
  <si>
    <t>Problem: Design Hit Counter. Design hit counter for last 5 minutes.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</si>
  <si>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Twitter</t>
  </si>
  <si>
    <t>Design simplified Twitter</t>
  </si>
  <si>
    <t>Problem: Design Twitter. Design simplified Twitter.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</si>
  <si>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Tic-Tac-Toe</t>
  </si>
  <si>
    <t>Design Tic-Tac-Toe game</t>
  </si>
  <si>
    <t>Problem: Design Tic-Tac-Toe. Design Tic-Tac-Toe game.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</si>
  <si>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Browser History</t>
  </si>
  <si>
    <t>Design browser history with back/forward</t>
  </si>
  <si>
    <t>Problem: Design Browser History. Design browser history with back/forward.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</si>
  <si>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Underground System</t>
  </si>
  <si>
    <t>Design subway system for travel times</t>
  </si>
  <si>
    <t>Problem: Design Underground System. Design subway system for travel times.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</si>
  <si>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Parking System</t>
  </si>
  <si>
    <t>Design parking system for different car types</t>
  </si>
  <si>
    <t>Problem: Design Parking System. Design parking system for different car types.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</si>
  <si>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Authentication Manager</t>
  </si>
  <si>
    <t>Design system to manage tokens</t>
  </si>
  <si>
    <t>Problem: Design Authentication Manager. Design system to manage tokens.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</si>
  <si>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time-based key-value data structure</t>
  </si>
  <si>
    <t>Problem: Time Based Key-Value Store. Design time-based key-value data structure. This is a Medium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</si>
  <si>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LFU Cache</t>
  </si>
  <si>
    <t>Design Least Frequently Used cache</t>
  </si>
  <si>
    <t>Problem: LFU Cache. Design Least Frequently Used cache. This is a Hard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</si>
  <si>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In-Memory File System</t>
  </si>
  <si>
    <t>Design file system with create/read/ls</t>
  </si>
  <si>
    <t>Problem: Design In-Memory File System. Design file system with create/read/ls. This is a Hard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</si>
  <si>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Search Autocomplete System</t>
  </si>
  <si>
    <t>Design autocomplete system</t>
  </si>
  <si>
    <t>Problem: Design Search Autocomplete System. Design autocomplete system. This is a Hard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</si>
  <si>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Design Phone Directory</t>
  </si>
  <si>
    <t>Design phone directory with get/check/release</t>
  </si>
  <si>
    <t>Problem: Design Phone Directory. Design phone directory with get/check/release. This is a Hard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</si>
  <si>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All O`one Data Structure</t>
  </si>
  <si>
    <t>Design data structure with O(1) operations</t>
  </si>
  <si>
    <t>Problem: All O`one Data Structure. Design data structure with O(1) operations. This is a Hard level problem in the Design category. Approach: Analyze the problem requirements, identify the appropriate data structure and algorithm, implement the solution efficiently considering time and space complexity. Test with various edge cases including empty inputs, single elements, and large datasets.</t>
  </si>
  <si>
    <t>Find indices of two numbers that add up to target using hash map</t>
  </si>
  <si>
    <t>Hash Map</t>
  </si>
  <si>
    <t>Check if array contains duplicates using hash set</t>
  </si>
  <si>
    <t>Check if two strings are anagrams using frequency map</t>
  </si>
  <si>
    <t>Find number appearing once using XOR or hash set</t>
  </si>
  <si>
    <t>Problem: Single Number. Find number appearing once using XOR or hash set.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</si>
  <si>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intersection of two arrays using hash set</t>
  </si>
  <si>
    <t>Problem: Intersection of Two Arrays. Find intersection of two arrays using hash set.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</si>
  <si>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Intersection of Two Arrays II</t>
  </si>
  <si>
    <t>Find intersection with duplicates using hash map</t>
  </si>
  <si>
    <t>Problem: Intersection of Two Arrays II. Find intersection with duplicates using hash map.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</si>
  <si>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Determine if number is happy using hash set for cycle detection</t>
  </si>
  <si>
    <t>Problem: Happy Number. Determine if number is happy using hash set for cycle detection.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</si>
  <si>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Isomorphic Strings</t>
  </si>
  <si>
    <t>Check if two strings are isomorphic using hash maps</t>
  </si>
  <si>
    <t>Problem: Isomorphic Strings. Check if two strings are isomorphic using hash maps.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</si>
  <si>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Word Pattern</t>
  </si>
  <si>
    <t>Check if pattern matches string using hash map</t>
  </si>
  <si>
    <t>Problem: Word Pattern. Check if pattern matches string using hash map.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</si>
  <si>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All Numbers Disappeared in Array</t>
  </si>
  <si>
    <t>Find missing numbers using hash set or in-place marking</t>
  </si>
  <si>
    <t>Problem: Find All Numbers Disappeared in Array. Find missing numbers using hash set or in-place marking.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</si>
  <si>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Unique Number of Occurrences</t>
  </si>
  <si>
    <t>Check if all frequencies are unique using hash map</t>
  </si>
  <si>
    <t>Problem: Unique Number of Occurrences. Check if all frequencies are unique using hash map.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</si>
  <si>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Common Characters</t>
  </si>
  <si>
    <t>Find common characters in all strings using frequency maps</t>
  </si>
  <si>
    <t>Problem: Find Common Characters. Find common characters in all strings using frequency maps.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</si>
  <si>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Uncommon Words from Two Sentences</t>
  </si>
  <si>
    <t>Find words appearing exactly once using hash map</t>
  </si>
  <si>
    <t>Problem: Uncommon Words from Two Sentences. Find words appearing exactly once using hash map.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</si>
  <si>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Distribute Candies</t>
  </si>
  <si>
    <t>Find number of unique candy types using hash set</t>
  </si>
  <si>
    <t>Problem: Distribute Candies. Find number of unique candy types using hash set.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</si>
  <si>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Jewels and Stones</t>
  </si>
  <si>
    <t>Count jewels in stones using hash set</t>
  </si>
  <si>
    <t>Problem: Jewels and Stones. Count jewels in stones using hash set. This is a Easy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</si>
  <si>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Group strings that are anagrams using hash map</t>
  </si>
  <si>
    <t>Find k most frequent elements using hash map and heap</t>
  </si>
  <si>
    <t>Problem: Top K Frequent Elements. Find k most frequent elements using hash map and heap.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</si>
  <si>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longest substring using sliding window and hash map</t>
  </si>
  <si>
    <t>Subarray Sum Equals K</t>
  </si>
  <si>
    <t>Count subarrays with sum k using prefix sum and hash map</t>
  </si>
  <si>
    <t>Problem: Subarray Sum Equals K. Count subarrays with sum k using prefix sum and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</si>
  <si>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4Sum II</t>
  </si>
  <si>
    <t>Count quadruplets summing to target using hash map</t>
  </si>
  <si>
    <t>Problem: 4Sum II. Count quadruplets summing to target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</si>
  <si>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Duplicate File in System</t>
  </si>
  <si>
    <t>Group duplicate files using hash map</t>
  </si>
  <si>
    <t>Problem: Find Duplicate File in System. Group duplicate files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</si>
  <si>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Contiguous Array</t>
  </si>
  <si>
    <t>Find longest subarray with equal 0s and 1s using hash map</t>
  </si>
  <si>
    <t>Problem: Contiguous Array. Find longest subarray with equal 0s and 1s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</si>
  <si>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Consecutive Sequence</t>
  </si>
  <si>
    <t>Find longest consecutive sequence using hash set</t>
  </si>
  <si>
    <t>Problem: Longest Consecutive Sequence. Find longest consecutive sequence using hash set.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</si>
  <si>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Valid Sudoku</t>
  </si>
  <si>
    <t>Validate Sudoku board using hash sets</t>
  </si>
  <si>
    <t>Problem: Valid Sudoku. Validate Sudoku board using hash sets.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</si>
  <si>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Group Shifted Strings</t>
  </si>
  <si>
    <t>Group strings by shift pattern using hash map</t>
  </si>
  <si>
    <t>Problem: Group Shifted Strings. Group strings by shift pattern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</si>
  <si>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Encode and Decode TinyURL</t>
  </si>
  <si>
    <t>Design URL shortening service using hash map</t>
  </si>
  <si>
    <t>Problem: Encode and Decode TinyURL. Design URL shortening service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</si>
  <si>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Custom Sort String</t>
  </si>
  <si>
    <t>Sort string based on custom order using hash map</t>
  </si>
  <si>
    <t>Problem: Custom Sort String. Sort string based on custom order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</si>
  <si>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max collinear points using hash map for slopes</t>
  </si>
  <si>
    <t>Problem: Max Points on a Line. Find max collinear points using hash map for slopes.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</si>
  <si>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Sort Characters By Frequency</t>
  </si>
  <si>
    <t>Sort characters by frequency using hash map</t>
  </si>
  <si>
    <t>Problem: Sort Characters By Frequency. Sort characters by frequency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</si>
  <si>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Longest Palindrome</t>
  </si>
  <si>
    <t>Find longest palindrome length using frequency map</t>
  </si>
  <si>
    <t>Problem: Longest Palindrome. Find longest palindrome length using frequency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</si>
  <si>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Shortest Word Distance II</t>
  </si>
  <si>
    <t>Design data structure for word distance using hash map</t>
  </si>
  <si>
    <t>Problem: Shortest Word Distance II. Design data structure for word distance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</si>
  <si>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Repeated DNA Sequences</t>
  </si>
  <si>
    <t>Find repeated 10-letter sequences using hash set</t>
  </si>
  <si>
    <t>Problem: Repeated DNA Sequences. Find repeated 10-letter sequences using hash set.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</si>
  <si>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Rabbits in Forest</t>
  </si>
  <si>
    <t>Find minimum rabbits using hash map for grouping</t>
  </si>
  <si>
    <t>Problem: Rabbits in Forest. Find minimum rabbits using hash map for grouping.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</si>
  <si>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Bulls and Cows</t>
  </si>
  <si>
    <t>Calculate bulls and cows using hash map</t>
  </si>
  <si>
    <t>Problem: Bulls and Cows. Calculate bulls and cows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</si>
  <si>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Duplicate Subtrees</t>
  </si>
  <si>
    <t>Find duplicate subtrees using hash map serialization</t>
  </si>
  <si>
    <t>Problem: Find Duplicate Subtrees. Find duplicate subtrees using hash map serialization.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</si>
  <si>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Convert fraction to decimal tracking remainders with hash map</t>
  </si>
  <si>
    <t>Problem: Fraction to Recurring Decimal. Convert fraction to decimal tracking remainders with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</si>
  <si>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substrings with word concatenations using hash map</t>
  </si>
  <si>
    <t>Problem: Substring with Concatenation of All Words. Find substrings with word concatenations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</si>
  <si>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minimum window with all characters using hash map</t>
  </si>
  <si>
    <t>Longest Harmonious Subsequence</t>
  </si>
  <si>
    <t>Find longest harmonious subsequence using hash map</t>
  </si>
  <si>
    <t>Problem: Longest Harmonious Subsequence. Find longest harmonious subsequence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</si>
  <si>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Sparse Matrix Multiplication</t>
  </si>
  <si>
    <t>Multiply sparse matrices efficiently using hash map</t>
  </si>
  <si>
    <t>Problem: Sparse Matrix Multiplication. Multiply sparse matrices efficiently using hash map. This is a Medium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</si>
  <si>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Implement LRU cache using hash map and doubly linked list</t>
  </si>
  <si>
    <t>Problem: LRU Cache. Implement LRU cache using hash map and doubly linked list.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</si>
  <si>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Implement LFU cache using hash maps</t>
  </si>
  <si>
    <t>Problem: LFU Cache. Implement LFU cache using hash maps.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</si>
  <si>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all starting indices using sliding window and hash map</t>
  </si>
  <si>
    <t>Problem: Substring with Concatenation of All Words. Find all starting indices using sliding window and hash map.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</si>
  <si>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minimum window containing all target characters</t>
  </si>
  <si>
    <t>Insert Delete GetRandom O(1)</t>
  </si>
  <si>
    <t>Design data structure with O(1) operations using array and hash map</t>
  </si>
  <si>
    <t>Problem: Insert Delete GetRandom O(1). Design data structure with O(1) operations using array and hash map.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</si>
  <si>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Insert Delete GetRandom O(1) - Duplicates</t>
  </si>
  <si>
    <t>Design with duplicates allowed using hash map of sets</t>
  </si>
  <si>
    <t>Problem: Insert Delete GetRandom O(1) - Duplicates. Design with duplicates allowed using hash map of sets.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</si>
  <si>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All O'one Data Structure</t>
  </si>
  <si>
    <t>Design with all O(1) operations using hash map and DLL</t>
  </si>
  <si>
    <t>Problem: All O'one Data Structure. Design with all O(1) operations using hash map and DLL.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</si>
  <si>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Derive alien language order using topological sort and hash map</t>
  </si>
  <si>
    <t>Problem: Alien Dictionary. Derive alien language order using topological sort and hash map.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</si>
  <si>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Freedom Trail</t>
  </si>
  <si>
    <t>Find minimum steps to spell keyword using hash map and DP</t>
  </si>
  <si>
    <t>Problem: Freedom Trail. Find minimum steps to spell keyword using hash map and DP.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</si>
  <si>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Number of Atoms</t>
  </si>
  <si>
    <t>Parse chemical formula using hash map and stack</t>
  </si>
  <si>
    <t>Problem: Number of Atoms. Parse chemical formula using hash map and stack.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</si>
  <si>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maximum collinear points using hash map</t>
  </si>
  <si>
    <t>Problem: Max Points on a Line. Find maximum collinear points using hash map.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</si>
  <si>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all palindrome pairs using trie and hash map</t>
  </si>
  <si>
    <t>Problem: Palindrome Pairs. Find all palindrome pairs using trie and hash map.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</si>
  <si>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Find concatenated words using hash set and DP</t>
  </si>
  <si>
    <t>Problem: Concatenated Words. Find concatenated words using hash set and DP.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</si>
  <si>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Count of Range Sum</t>
  </si>
  <si>
    <t>Count range sums using hash map and merge sort</t>
  </si>
  <si>
    <t>Problem: Count of Range Sum. Count range sums using hash map and merge sort. This is a Hard level problem in the Hash Map category. Approach: Analyze the problem requirements, identify the appropriate data structure and algorithm, implement the solution efficiently considering time and space complexity. Test with various edge cases including empty inputs, single elements, and large datasets.</t>
  </si>
  <si>
    <t>Questions</t>
  </si>
  <si>
    <t>Status</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</si>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</sst>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name val="Arial"/>
      <charset val="1"/>
    </font>
    <font>
      <sz val="10"/>
      <name val="Arial"/>
      <charset val="1"/>
    </font>
    <font>
      <b/>
      <sz val="11"/>
      <color rgb="FFFFFFFF"/>
      <name val="Arial"/>
      <charset val="1"/>
    </font>
  </fonts>
  <fills count="6">
    <fill>
      <patternFill patternType="none"/>
    </fill>
    <fill>
      <patternFill patternType="gray125"/>
    </fill>
    <fill>
      <patternFill patternType="solid">
        <fgColor rgb="FF4472C4"/>
        <bgColor rgb="FF666699"/>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1" fillId="0" borderId="0" xfId="0" applyFont="1"/>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zoomScaleNormal="100" workbookViewId="0"/>
  </sheetViews>
  <sheetFormatPr defaultColWidth="8.6640625" defaultRowHeight="14.4" x14ac:dyDescent="0.3"/>
  <cols>
    <col min="1" max="1" width="30" customWidth="1"/>
    <col min="2" max="2" width="15" customWidth="1"/>
  </cols>
  <sheetData>
    <row r="1" spans="1:2" x14ac:dyDescent="0.3">
      <c r="A1" s="8" t="s">
        <v>0</v>
      </c>
      <c r="B1" s="8"/>
    </row>
    <row r="2" spans="1:2" x14ac:dyDescent="0.3">
      <c r="A2" s="1"/>
      <c r="B2" s="2"/>
    </row>
    <row r="3" spans="1:2" x14ac:dyDescent="0.3">
      <c r="A3" s="1" t="s">
        <v>1</v>
      </c>
      <c r="B3" s="2">
        <f>COUNTA('DSA Questions'!A2:A10000)</f>
        <v>450</v>
      </c>
    </row>
    <row r="4" spans="1:2" x14ac:dyDescent="0.3">
      <c r="A4" s="1"/>
      <c r="B4" s="2"/>
    </row>
    <row r="5" spans="1:2" x14ac:dyDescent="0.3">
      <c r="A5" s="1" t="s">
        <v>2</v>
      </c>
      <c r="B5" s="2"/>
    </row>
    <row r="6" spans="1:2" x14ac:dyDescent="0.3">
      <c r="A6" s="1" t="s">
        <v>3</v>
      </c>
      <c r="B6" s="2">
        <f>COUNTIF('DSA Questions'!E:E,"Easy")</f>
        <v>123</v>
      </c>
    </row>
    <row r="7" spans="1:2" x14ac:dyDescent="0.3">
      <c r="A7" s="1" t="s">
        <v>4</v>
      </c>
      <c r="B7" s="2">
        <f>COUNTIF('DSA Questions'!E:E,"Medium")</f>
        <v>236</v>
      </c>
    </row>
    <row r="8" spans="1:2" x14ac:dyDescent="0.3">
      <c r="A8" s="1" t="s">
        <v>5</v>
      </c>
      <c r="B8" s="2">
        <f>COUNTIF('DSA Questions'!E:E,"Hard")</f>
        <v>91</v>
      </c>
    </row>
    <row r="9" spans="1:2" x14ac:dyDescent="0.3">
      <c r="A9" s="1"/>
      <c r="B9" s="2"/>
    </row>
    <row r="10" spans="1:2" x14ac:dyDescent="0.3">
      <c r="A10" s="1" t="s">
        <v>6</v>
      </c>
      <c r="B10" s="2"/>
    </row>
    <row r="11" spans="1:2" x14ac:dyDescent="0.3">
      <c r="A11" s="1" t="s">
        <v>7</v>
      </c>
      <c r="B11" s="2">
        <f>COUNTIF('DSA Questions'!D:D,"Array")</f>
        <v>30</v>
      </c>
    </row>
    <row r="12" spans="1:2" x14ac:dyDescent="0.3">
      <c r="A12" s="1" t="s">
        <v>8</v>
      </c>
      <c r="B12" s="2">
        <f>COUNTIF('DSA Questions'!D:D,"Backtracking")</f>
        <v>19</v>
      </c>
    </row>
    <row r="13" spans="1:2" x14ac:dyDescent="0.3">
      <c r="A13" s="1" t="s">
        <v>9</v>
      </c>
      <c r="B13" s="2">
        <f>COUNTIF('DSA Questions'!D:D,"Binary Search")</f>
        <v>21</v>
      </c>
    </row>
    <row r="14" spans="1:2" x14ac:dyDescent="0.3">
      <c r="A14" s="1" t="s">
        <v>10</v>
      </c>
      <c r="B14" s="2">
        <f>COUNTIF('DSA Questions'!D:D,"Binary Tree")</f>
        <v>29</v>
      </c>
    </row>
    <row r="15" spans="1:2" x14ac:dyDescent="0.3">
      <c r="A15" s="1" t="s">
        <v>11</v>
      </c>
      <c r="B15" s="2">
        <f>COUNTIF('DSA Questions'!D:D,"Bit Manipulation")</f>
        <v>18</v>
      </c>
    </row>
    <row r="16" spans="1:2" x14ac:dyDescent="0.3">
      <c r="A16" s="1" t="s">
        <v>12</v>
      </c>
      <c r="B16" s="2">
        <f>COUNTIF('DSA Questions'!D:D,"Design")</f>
        <v>19</v>
      </c>
    </row>
    <row r="17" spans="1:2" x14ac:dyDescent="0.3">
      <c r="A17" s="1" t="s">
        <v>13</v>
      </c>
      <c r="B17" s="2">
        <f>COUNTIF('DSA Questions'!D:D,"Dynamic Programming")</f>
        <v>39</v>
      </c>
    </row>
    <row r="18" spans="1:2" x14ac:dyDescent="0.3">
      <c r="A18" s="1" t="s">
        <v>14</v>
      </c>
      <c r="B18" s="2">
        <f>COUNTIF('DSA Questions'!D:D,"Graph")</f>
        <v>21</v>
      </c>
    </row>
    <row r="19" spans="1:2" x14ac:dyDescent="0.3">
      <c r="A19" s="1" t="s">
        <v>15</v>
      </c>
      <c r="B19" s="2">
        <f>COUNTIF('DSA Questions'!D:D,"Greedy")</f>
        <v>16</v>
      </c>
    </row>
    <row r="20" spans="1:2" x14ac:dyDescent="0.3">
      <c r="A20" s="1" t="s">
        <v>16</v>
      </c>
      <c r="B20" s="2">
        <f>COUNTIF('DSA Questions'!D:D,"Hash Map")</f>
        <v>54</v>
      </c>
    </row>
    <row r="21" spans="1:2" x14ac:dyDescent="0.3">
      <c r="A21" s="1" t="s">
        <v>17</v>
      </c>
      <c r="B21" s="2">
        <f>COUNTIF('DSA Questions'!D:D,"Heap")</f>
        <v>17</v>
      </c>
    </row>
    <row r="22" spans="1:2" x14ac:dyDescent="0.3">
      <c r="A22" s="1" t="s">
        <v>18</v>
      </c>
      <c r="B22" s="2">
        <f>COUNTIF('DSA Questions'!D:D,"Linked List")</f>
        <v>21</v>
      </c>
    </row>
    <row r="23" spans="1:2" x14ac:dyDescent="0.3">
      <c r="A23" s="1" t="s">
        <v>19</v>
      </c>
      <c r="B23" s="2">
        <f>COUNTIF('DSA Questions'!D:D,"Math")</f>
        <v>24</v>
      </c>
    </row>
    <row r="24" spans="1:2" x14ac:dyDescent="0.3">
      <c r="A24" s="1" t="s">
        <v>20</v>
      </c>
      <c r="B24" s="2">
        <f>COUNTIF('DSA Questions'!D:D,"Queue")</f>
        <v>7</v>
      </c>
    </row>
    <row r="25" spans="1:2" x14ac:dyDescent="0.3">
      <c r="A25" s="1" t="s">
        <v>21</v>
      </c>
      <c r="B25" s="2">
        <f>COUNTIF('DSA Questions'!D:D,"Sliding Window")</f>
        <v>15</v>
      </c>
    </row>
    <row r="26" spans="1:2" x14ac:dyDescent="0.3">
      <c r="A26" s="1" t="s">
        <v>22</v>
      </c>
      <c r="B26" s="2">
        <f>COUNTIF('DSA Questions'!D:D,"Sorting")</f>
        <v>16</v>
      </c>
    </row>
    <row r="27" spans="1:2" x14ac:dyDescent="0.3">
      <c r="A27" s="1" t="s">
        <v>23</v>
      </c>
      <c r="B27" s="2">
        <f>COUNTIF('DSA Questions'!D:D,"Stack")</f>
        <v>19</v>
      </c>
    </row>
    <row r="28" spans="1:2" x14ac:dyDescent="0.3">
      <c r="A28" s="1" t="s">
        <v>24</v>
      </c>
      <c r="B28" s="2">
        <f>COUNTIF('DSA Questions'!D:D,"String")</f>
        <v>27</v>
      </c>
    </row>
    <row r="29" spans="1:2" x14ac:dyDescent="0.3">
      <c r="A29" s="1" t="s">
        <v>25</v>
      </c>
      <c r="B29" s="2">
        <f>COUNTIF('DSA Questions'!D:D,"Trie")</f>
        <v>9</v>
      </c>
    </row>
    <row r="30" spans="1:2" x14ac:dyDescent="0.3">
      <c r="A30" s="1" t="s">
        <v>26</v>
      </c>
      <c r="B30" s="2">
        <f>COUNTIF('DSA Questions'!D:D,"Two Pointers")</f>
        <v>18</v>
      </c>
    </row>
    <row r="31" spans="1:2" x14ac:dyDescent="0.3">
      <c r="A31" s="1" t="s">
        <v>27</v>
      </c>
      <c r="B31" s="2">
        <f>COUNTIF('DSA Questions'!D:D,"Union Find")</f>
        <v>11</v>
      </c>
    </row>
    <row r="32" spans="1:2" x14ac:dyDescent="0.3">
      <c r="A32" s="1"/>
      <c r="B32" s="2"/>
    </row>
    <row r="33" spans="1:2" x14ac:dyDescent="0.3">
      <c r="A33" s="1"/>
      <c r="B33" s="2"/>
    </row>
    <row r="34" spans="1:2" x14ac:dyDescent="0.3">
      <c r="A34" s="1"/>
      <c r="B34" s="2"/>
    </row>
    <row r="35" spans="1:2" x14ac:dyDescent="0.3">
      <c r="A35" s="1"/>
      <c r="B35" s="2"/>
    </row>
    <row r="36" spans="1:2" x14ac:dyDescent="0.3">
      <c r="A36" s="1"/>
      <c r="B36" s="2"/>
    </row>
    <row r="37" spans="1:2" x14ac:dyDescent="0.3">
      <c r="A37" s="1"/>
      <c r="B37" s="2"/>
    </row>
    <row r="38" spans="1:2" x14ac:dyDescent="0.3">
      <c r="A38" s="1"/>
      <c r="B38" s="2"/>
    </row>
    <row r="39" spans="1:2" x14ac:dyDescent="0.3">
      <c r="A39" s="1"/>
      <c r="B39" s="2"/>
    </row>
    <row r="40" spans="1:2" x14ac:dyDescent="0.3">
      <c r="A40" s="1"/>
      <c r="B40" s="2"/>
    </row>
    <row r="41" spans="1:2" x14ac:dyDescent="0.3">
      <c r="A41" s="1"/>
      <c r="B41" s="2"/>
    </row>
    <row r="42" spans="1:2" x14ac:dyDescent="0.3">
      <c r="A42" s="1"/>
      <c r="B42" s="2"/>
    </row>
    <row r="43" spans="1:2" x14ac:dyDescent="0.3">
      <c r="A43" s="1"/>
      <c r="B43" s="2"/>
    </row>
    <row r="44" spans="1:2" x14ac:dyDescent="0.3">
      <c r="A44" s="1"/>
      <c r="B44" s="2"/>
    </row>
    <row r="45" spans="1:2" x14ac:dyDescent="0.3">
      <c r="A45" s="1"/>
      <c r="B45" s="2"/>
    </row>
    <row r="46" spans="1:2" x14ac:dyDescent="0.3">
      <c r="A46" s="1"/>
      <c r="B46" s="2"/>
    </row>
    <row r="47" spans="1:2" x14ac:dyDescent="0.3">
      <c r="A47" s="1"/>
      <c r="B47" s="2"/>
    </row>
    <row r="48" spans="1:2" x14ac:dyDescent="0.3">
      <c r="A48" s="1"/>
      <c r="B48" s="2"/>
    </row>
    <row r="49" spans="1:2" x14ac:dyDescent="0.3">
      <c r="A49" s="1"/>
      <c r="B49" s="2"/>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1"/>
  <sheetViews>
    <sheetView tabSelected="1" topLeftCell="C1" zoomScale="71" zoomScaleNormal="100" workbookViewId="0">
      <pane ySplit="1" topLeftCell="A3" activePane="bottomLeft" state="frozen"/>
      <selection pane="bottomLeft" activeCell="F3" sqref="F3"/>
    </sheetView>
  </sheetViews>
  <sheetFormatPr defaultColWidth="8.6640625" defaultRowHeight="14.4" x14ac:dyDescent="0.3"/>
  <cols>
    <col min="1" max="1" width="40" style="4" customWidth="1"/>
    <col min="2" max="2" width="69.21875" style="4" customWidth="1"/>
    <col min="3" max="3" width="95" style="4" customWidth="1"/>
    <col min="4" max="4" width="22" style="4" customWidth="1"/>
    <col min="5" max="5" width="15" style="4" customWidth="1"/>
    <col min="6" max="6" width="28.21875" style="4" customWidth="1"/>
    <col min="7" max="16384" width="8.6640625" style="4"/>
  </cols>
  <sheetData>
    <row r="1" spans="1:6" x14ac:dyDescent="0.3">
      <c r="A1" s="3" t="s">
        <v>1284</v>
      </c>
      <c r="B1" s="3" t="s">
        <v>28</v>
      </c>
      <c r="C1" s="3" t="s">
        <v>29</v>
      </c>
      <c r="D1" s="3" t="s">
        <v>30</v>
      </c>
      <c r="E1" s="3" t="s">
        <v>31</v>
      </c>
      <c r="F1" s="4" t="s">
        <v>1285</v>
      </c>
    </row>
    <row r="2" spans="1:6" ht="52.8" x14ac:dyDescent="0.3">
      <c r="A2" s="5" t="s">
        <v>32</v>
      </c>
      <c r="B2" s="5" t="s">
        <v>33</v>
      </c>
      <c r="C2" s="5" t="s">
        <v>34</v>
      </c>
      <c r="D2" s="5" t="s">
        <v>35</v>
      </c>
      <c r="E2" s="5" t="s">
        <v>36</v>
      </c>
      <c r="F2" s="9" t="s">
        <v>1286</v>
      </c>
    </row>
    <row r="3" spans="1:6" ht="66" x14ac:dyDescent="0.3">
      <c r="A3" s="5" t="s">
        <v>37</v>
      </c>
      <c r="B3" s="5" t="s">
        <v>38</v>
      </c>
      <c r="C3" s="5" t="s">
        <v>39</v>
      </c>
      <c r="D3" s="5" t="s">
        <v>35</v>
      </c>
      <c r="E3" s="5" t="s">
        <v>36</v>
      </c>
    </row>
    <row r="4" spans="1:6" ht="39.6" x14ac:dyDescent="0.3">
      <c r="A4" s="5" t="s">
        <v>40</v>
      </c>
      <c r="B4" s="5" t="s">
        <v>41</v>
      </c>
      <c r="C4" s="5" t="s">
        <v>42</v>
      </c>
      <c r="D4" s="5" t="s">
        <v>35</v>
      </c>
      <c r="E4" s="5" t="s">
        <v>36</v>
      </c>
    </row>
    <row r="5" spans="1:6" ht="52.8" x14ac:dyDescent="0.3">
      <c r="A5" s="5" t="s">
        <v>43</v>
      </c>
      <c r="B5" s="5" t="s">
        <v>44</v>
      </c>
      <c r="C5" s="5" t="s">
        <v>45</v>
      </c>
      <c r="D5" s="5" t="s">
        <v>35</v>
      </c>
      <c r="E5" s="5" t="s">
        <v>36</v>
      </c>
    </row>
    <row r="6" spans="1:6" ht="52.8" x14ac:dyDescent="0.3">
      <c r="A6" s="5" t="s">
        <v>46</v>
      </c>
      <c r="B6" s="5" t="s">
        <v>47</v>
      </c>
      <c r="C6" s="5" t="s">
        <v>48</v>
      </c>
      <c r="D6" s="5" t="s">
        <v>35</v>
      </c>
      <c r="E6" s="5" t="s">
        <v>36</v>
      </c>
    </row>
    <row r="7" spans="1:6" ht="52.8" x14ac:dyDescent="0.3">
      <c r="A7" s="5" t="s">
        <v>49</v>
      </c>
      <c r="B7" s="5" t="s">
        <v>50</v>
      </c>
      <c r="C7" s="5" t="s">
        <v>51</v>
      </c>
      <c r="D7" s="5" t="s">
        <v>35</v>
      </c>
      <c r="E7" s="5" t="s">
        <v>36</v>
      </c>
    </row>
    <row r="8" spans="1:6" ht="52.8" x14ac:dyDescent="0.3">
      <c r="A8" s="5" t="s">
        <v>52</v>
      </c>
      <c r="B8" s="5" t="s">
        <v>53</v>
      </c>
      <c r="C8" s="5" t="s">
        <v>54</v>
      </c>
      <c r="D8" s="5" t="s">
        <v>35</v>
      </c>
      <c r="E8" s="5" t="s">
        <v>36</v>
      </c>
    </row>
    <row r="9" spans="1:6" ht="52.8" x14ac:dyDescent="0.3">
      <c r="A9" s="5" t="s">
        <v>55</v>
      </c>
      <c r="B9" s="5" t="s">
        <v>56</v>
      </c>
      <c r="C9" s="5" t="s">
        <v>57</v>
      </c>
      <c r="D9" s="5" t="s">
        <v>35</v>
      </c>
      <c r="E9" s="5" t="s">
        <v>36</v>
      </c>
    </row>
    <row r="10" spans="1:6" ht="52.8" x14ac:dyDescent="0.3">
      <c r="A10" s="5" t="s">
        <v>58</v>
      </c>
      <c r="B10" s="5" t="s">
        <v>59</v>
      </c>
      <c r="C10" s="5" t="s">
        <v>60</v>
      </c>
      <c r="D10" s="5" t="s">
        <v>35</v>
      </c>
      <c r="E10" s="5" t="s">
        <v>36</v>
      </c>
    </row>
    <row r="11" spans="1:6" ht="52.8" x14ac:dyDescent="0.3">
      <c r="A11" s="5" t="s">
        <v>61</v>
      </c>
      <c r="B11" s="5" t="s">
        <v>62</v>
      </c>
      <c r="C11" s="5" t="s">
        <v>63</v>
      </c>
      <c r="D11" s="5" t="s">
        <v>35</v>
      </c>
      <c r="E11" s="5" t="s">
        <v>36</v>
      </c>
    </row>
    <row r="12" spans="1:6" ht="52.8" x14ac:dyDescent="0.3">
      <c r="A12" s="6" t="s">
        <v>64</v>
      </c>
      <c r="B12" s="6" t="s">
        <v>65</v>
      </c>
      <c r="C12" s="6" t="s">
        <v>66</v>
      </c>
      <c r="D12" s="6" t="s">
        <v>35</v>
      </c>
      <c r="E12" s="6" t="s">
        <v>67</v>
      </c>
    </row>
    <row r="13" spans="1:6" ht="39.6" x14ac:dyDescent="0.3">
      <c r="A13" s="6" t="s">
        <v>68</v>
      </c>
      <c r="B13" s="6" t="s">
        <v>69</v>
      </c>
      <c r="C13" s="6" t="s">
        <v>70</v>
      </c>
      <c r="D13" s="6" t="s">
        <v>35</v>
      </c>
      <c r="E13" s="6" t="s">
        <v>67</v>
      </c>
    </row>
    <row r="14" spans="1:6" ht="52.8" x14ac:dyDescent="0.3">
      <c r="A14" s="6" t="s">
        <v>71</v>
      </c>
      <c r="B14" s="6" t="s">
        <v>72</v>
      </c>
      <c r="C14" s="6" t="s">
        <v>73</v>
      </c>
      <c r="D14" s="6" t="s">
        <v>35</v>
      </c>
      <c r="E14" s="6" t="s">
        <v>67</v>
      </c>
    </row>
    <row r="15" spans="1:6" ht="52.8" x14ac:dyDescent="0.3">
      <c r="A15" s="6" t="s">
        <v>74</v>
      </c>
      <c r="B15" s="6" t="s">
        <v>75</v>
      </c>
      <c r="C15" s="6" t="s">
        <v>76</v>
      </c>
      <c r="D15" s="6" t="s">
        <v>35</v>
      </c>
      <c r="E15" s="6" t="s">
        <v>67</v>
      </c>
    </row>
    <row r="16" spans="1:6" ht="39.6" x14ac:dyDescent="0.3">
      <c r="A16" s="6" t="s">
        <v>77</v>
      </c>
      <c r="B16" s="6" t="s">
        <v>78</v>
      </c>
      <c r="C16" s="6" t="s">
        <v>79</v>
      </c>
      <c r="D16" s="6" t="s">
        <v>35</v>
      </c>
      <c r="E16" s="6" t="s">
        <v>67</v>
      </c>
    </row>
    <row r="17" spans="1:5" ht="52.8" x14ac:dyDescent="0.3">
      <c r="A17" s="6" t="s">
        <v>80</v>
      </c>
      <c r="B17" s="6" t="s">
        <v>81</v>
      </c>
      <c r="C17" s="6" t="s">
        <v>82</v>
      </c>
      <c r="D17" s="6" t="s">
        <v>35</v>
      </c>
      <c r="E17" s="6" t="s">
        <v>67</v>
      </c>
    </row>
    <row r="18" spans="1:5" ht="39.6" x14ac:dyDescent="0.3">
      <c r="A18" s="6" t="s">
        <v>83</v>
      </c>
      <c r="B18" s="6" t="s">
        <v>84</v>
      </c>
      <c r="C18" s="6" t="s">
        <v>85</v>
      </c>
      <c r="D18" s="6" t="s">
        <v>35</v>
      </c>
      <c r="E18" s="6" t="s">
        <v>67</v>
      </c>
    </row>
    <row r="19" spans="1:5" ht="52.8" x14ac:dyDescent="0.3">
      <c r="A19" s="6" t="s">
        <v>86</v>
      </c>
      <c r="B19" s="6" t="s">
        <v>87</v>
      </c>
      <c r="C19" s="6" t="s">
        <v>88</v>
      </c>
      <c r="D19" s="6" t="s">
        <v>35</v>
      </c>
      <c r="E19" s="6" t="s">
        <v>67</v>
      </c>
    </row>
    <row r="20" spans="1:5" ht="52.8" x14ac:dyDescent="0.3">
      <c r="A20" s="6" t="s">
        <v>89</v>
      </c>
      <c r="B20" s="6" t="s">
        <v>90</v>
      </c>
      <c r="C20" s="6" t="s">
        <v>91</v>
      </c>
      <c r="D20" s="6" t="s">
        <v>35</v>
      </c>
      <c r="E20" s="6" t="s">
        <v>67</v>
      </c>
    </row>
    <row r="21" spans="1:5" ht="52.8" x14ac:dyDescent="0.3">
      <c r="A21" s="6" t="s">
        <v>92</v>
      </c>
      <c r="B21" s="6" t="s">
        <v>93</v>
      </c>
      <c r="C21" s="6" t="s">
        <v>94</v>
      </c>
      <c r="D21" s="6" t="s">
        <v>35</v>
      </c>
      <c r="E21" s="6" t="s">
        <v>67</v>
      </c>
    </row>
    <row r="22" spans="1:5" ht="52.8" x14ac:dyDescent="0.3">
      <c r="A22" s="6" t="s">
        <v>95</v>
      </c>
      <c r="B22" s="6" t="s">
        <v>96</v>
      </c>
      <c r="C22" s="6" t="s">
        <v>97</v>
      </c>
      <c r="D22" s="6" t="s">
        <v>35</v>
      </c>
      <c r="E22" s="6" t="s">
        <v>67</v>
      </c>
    </row>
    <row r="23" spans="1:5" ht="52.8" x14ac:dyDescent="0.3">
      <c r="A23" s="6" t="s">
        <v>98</v>
      </c>
      <c r="B23" s="6" t="s">
        <v>99</v>
      </c>
      <c r="C23" s="6" t="s">
        <v>100</v>
      </c>
      <c r="D23" s="6" t="s">
        <v>35</v>
      </c>
      <c r="E23" s="6" t="s">
        <v>67</v>
      </c>
    </row>
    <row r="24" spans="1:5" ht="39.6" x14ac:dyDescent="0.3">
      <c r="A24" s="6" t="s">
        <v>101</v>
      </c>
      <c r="B24" s="6" t="s">
        <v>102</v>
      </c>
      <c r="C24" s="6" t="s">
        <v>103</v>
      </c>
      <c r="D24" s="6" t="s">
        <v>35</v>
      </c>
      <c r="E24" s="6" t="s">
        <v>67</v>
      </c>
    </row>
    <row r="25" spans="1:5" ht="66" x14ac:dyDescent="0.3">
      <c r="A25" s="6" t="s">
        <v>104</v>
      </c>
      <c r="B25" s="6" t="s">
        <v>105</v>
      </c>
      <c r="C25" s="6" t="s">
        <v>106</v>
      </c>
      <c r="D25" s="6" t="s">
        <v>35</v>
      </c>
      <c r="E25" s="6" t="s">
        <v>67</v>
      </c>
    </row>
    <row r="26" spans="1:5" ht="52.8" x14ac:dyDescent="0.3">
      <c r="A26" s="6" t="s">
        <v>107</v>
      </c>
      <c r="B26" s="6" t="s">
        <v>108</v>
      </c>
      <c r="C26" s="6" t="s">
        <v>109</v>
      </c>
      <c r="D26" s="6" t="s">
        <v>35</v>
      </c>
      <c r="E26" s="6" t="s">
        <v>67</v>
      </c>
    </row>
    <row r="27" spans="1:5" ht="39.6" x14ac:dyDescent="0.3">
      <c r="A27" s="7" t="s">
        <v>110</v>
      </c>
      <c r="B27" s="7" t="s">
        <v>111</v>
      </c>
      <c r="C27" s="7" t="s">
        <v>112</v>
      </c>
      <c r="D27" s="7" t="s">
        <v>35</v>
      </c>
      <c r="E27" s="7" t="s">
        <v>113</v>
      </c>
    </row>
    <row r="28" spans="1:5" ht="52.8" x14ac:dyDescent="0.3">
      <c r="A28" s="7" t="s">
        <v>114</v>
      </c>
      <c r="B28" s="7" t="s">
        <v>115</v>
      </c>
      <c r="C28" s="7" t="s">
        <v>116</v>
      </c>
      <c r="D28" s="7" t="s">
        <v>35</v>
      </c>
      <c r="E28" s="7" t="s">
        <v>113</v>
      </c>
    </row>
    <row r="29" spans="1:5" ht="52.8" x14ac:dyDescent="0.3">
      <c r="A29" s="7" t="s">
        <v>117</v>
      </c>
      <c r="B29" s="7" t="s">
        <v>118</v>
      </c>
      <c r="C29" s="7" t="s">
        <v>119</v>
      </c>
      <c r="D29" s="7" t="s">
        <v>35</v>
      </c>
      <c r="E29" s="7" t="s">
        <v>113</v>
      </c>
    </row>
    <row r="30" spans="1:5" ht="52.8" x14ac:dyDescent="0.3">
      <c r="A30" s="7" t="s">
        <v>120</v>
      </c>
      <c r="B30" s="7" t="s">
        <v>121</v>
      </c>
      <c r="C30" s="7" t="s">
        <v>122</v>
      </c>
      <c r="D30" s="7" t="s">
        <v>35</v>
      </c>
      <c r="E30" s="7" t="s">
        <v>113</v>
      </c>
    </row>
    <row r="31" spans="1:5" ht="52.8" x14ac:dyDescent="0.3">
      <c r="A31" s="7" t="s">
        <v>123</v>
      </c>
      <c r="B31" s="7" t="s">
        <v>124</v>
      </c>
      <c r="C31" s="7" t="s">
        <v>125</v>
      </c>
      <c r="D31" s="7" t="s">
        <v>35</v>
      </c>
      <c r="E31" s="7" t="s">
        <v>113</v>
      </c>
    </row>
    <row r="32" spans="1:5" ht="52.8" x14ac:dyDescent="0.3">
      <c r="A32" s="5" t="s">
        <v>126</v>
      </c>
      <c r="B32" s="5" t="s">
        <v>127</v>
      </c>
      <c r="C32" s="5" t="s">
        <v>128</v>
      </c>
      <c r="D32" s="5" t="s">
        <v>129</v>
      </c>
      <c r="E32" s="5" t="s">
        <v>36</v>
      </c>
    </row>
    <row r="33" spans="1:5" ht="52.8" x14ac:dyDescent="0.3">
      <c r="A33" s="5" t="s">
        <v>130</v>
      </c>
      <c r="B33" s="5" t="s">
        <v>131</v>
      </c>
      <c r="C33" s="5" t="s">
        <v>132</v>
      </c>
      <c r="D33" s="5" t="s">
        <v>129</v>
      </c>
      <c r="E33" s="5" t="s">
        <v>36</v>
      </c>
    </row>
    <row r="34" spans="1:5" ht="52.8" x14ac:dyDescent="0.3">
      <c r="A34" s="5" t="s">
        <v>133</v>
      </c>
      <c r="B34" s="5" t="s">
        <v>134</v>
      </c>
      <c r="C34" s="5" t="s">
        <v>135</v>
      </c>
      <c r="D34" s="5" t="s">
        <v>129</v>
      </c>
      <c r="E34" s="5" t="s">
        <v>36</v>
      </c>
    </row>
    <row r="35" spans="1:5" ht="52.8" x14ac:dyDescent="0.3">
      <c r="A35" s="5" t="s">
        <v>136</v>
      </c>
      <c r="B35" s="5" t="s">
        <v>137</v>
      </c>
      <c r="C35" s="5" t="s">
        <v>138</v>
      </c>
      <c r="D35" s="5" t="s">
        <v>129</v>
      </c>
      <c r="E35" s="5" t="s">
        <v>36</v>
      </c>
    </row>
    <row r="36" spans="1:5" ht="52.8" x14ac:dyDescent="0.3">
      <c r="A36" s="5" t="s">
        <v>139</v>
      </c>
      <c r="B36" s="5" t="s">
        <v>140</v>
      </c>
      <c r="C36" s="5" t="s">
        <v>141</v>
      </c>
      <c r="D36" s="5" t="s">
        <v>129</v>
      </c>
      <c r="E36" s="5" t="s">
        <v>36</v>
      </c>
    </row>
    <row r="37" spans="1:5" ht="52.8" x14ac:dyDescent="0.3">
      <c r="A37" s="5" t="s">
        <v>142</v>
      </c>
      <c r="B37" s="5" t="s">
        <v>143</v>
      </c>
      <c r="C37" s="5" t="s">
        <v>144</v>
      </c>
      <c r="D37" s="5" t="s">
        <v>129</v>
      </c>
      <c r="E37" s="5" t="s">
        <v>36</v>
      </c>
    </row>
    <row r="38" spans="1:5" ht="52.8" x14ac:dyDescent="0.3">
      <c r="A38" s="5" t="s">
        <v>145</v>
      </c>
      <c r="B38" s="5" t="s">
        <v>146</v>
      </c>
      <c r="C38" s="5" t="s">
        <v>147</v>
      </c>
      <c r="D38" s="5" t="s">
        <v>129</v>
      </c>
      <c r="E38" s="5" t="s">
        <v>36</v>
      </c>
    </row>
    <row r="39" spans="1:5" ht="52.8" x14ac:dyDescent="0.3">
      <c r="A39" s="5" t="s">
        <v>148</v>
      </c>
      <c r="B39" s="5" t="s">
        <v>149</v>
      </c>
      <c r="C39" s="5" t="s">
        <v>150</v>
      </c>
      <c r="D39" s="5" t="s">
        <v>129</v>
      </c>
      <c r="E39" s="5" t="s">
        <v>36</v>
      </c>
    </row>
    <row r="40" spans="1:5" ht="52.8" x14ac:dyDescent="0.3">
      <c r="A40" s="5" t="s">
        <v>151</v>
      </c>
      <c r="B40" s="5" t="s">
        <v>152</v>
      </c>
      <c r="C40" s="5" t="s">
        <v>153</v>
      </c>
      <c r="D40" s="5" t="s">
        <v>129</v>
      </c>
      <c r="E40" s="5" t="s">
        <v>36</v>
      </c>
    </row>
    <row r="41" spans="1:5" ht="52.8" x14ac:dyDescent="0.3">
      <c r="A41" s="5" t="s">
        <v>154</v>
      </c>
      <c r="B41" s="5" t="s">
        <v>155</v>
      </c>
      <c r="C41" s="5" t="s">
        <v>156</v>
      </c>
      <c r="D41" s="5" t="s">
        <v>129</v>
      </c>
      <c r="E41" s="5" t="s">
        <v>36</v>
      </c>
    </row>
    <row r="42" spans="1:5" ht="39.6" x14ac:dyDescent="0.3">
      <c r="A42" s="6" t="s">
        <v>157</v>
      </c>
      <c r="B42" s="6" t="s">
        <v>158</v>
      </c>
      <c r="C42" s="6" t="s">
        <v>159</v>
      </c>
      <c r="D42" s="6" t="s">
        <v>129</v>
      </c>
      <c r="E42" s="6" t="s">
        <v>67</v>
      </c>
    </row>
    <row r="43" spans="1:5" ht="39.6" x14ac:dyDescent="0.3">
      <c r="A43" s="6" t="s">
        <v>160</v>
      </c>
      <c r="B43" s="6" t="s">
        <v>161</v>
      </c>
      <c r="C43" s="6" t="s">
        <v>162</v>
      </c>
      <c r="D43" s="6" t="s">
        <v>129</v>
      </c>
      <c r="E43" s="6" t="s">
        <v>67</v>
      </c>
    </row>
    <row r="44" spans="1:5" ht="39.6" x14ac:dyDescent="0.3">
      <c r="A44" s="6" t="s">
        <v>163</v>
      </c>
      <c r="B44" s="6" t="s">
        <v>164</v>
      </c>
      <c r="C44" s="6" t="s">
        <v>165</v>
      </c>
      <c r="D44" s="6" t="s">
        <v>129</v>
      </c>
      <c r="E44" s="6" t="s">
        <v>67</v>
      </c>
    </row>
    <row r="45" spans="1:5" ht="52.8" x14ac:dyDescent="0.3">
      <c r="A45" s="6" t="s">
        <v>166</v>
      </c>
      <c r="B45" s="6" t="s">
        <v>167</v>
      </c>
      <c r="C45" s="6" t="s">
        <v>168</v>
      </c>
      <c r="D45" s="6" t="s">
        <v>129</v>
      </c>
      <c r="E45" s="6" t="s">
        <v>67</v>
      </c>
    </row>
    <row r="46" spans="1:5" ht="52.8" x14ac:dyDescent="0.3">
      <c r="A46" s="6" t="s">
        <v>169</v>
      </c>
      <c r="B46" s="6" t="s">
        <v>170</v>
      </c>
      <c r="C46" s="6" t="s">
        <v>171</v>
      </c>
      <c r="D46" s="6" t="s">
        <v>129</v>
      </c>
      <c r="E46" s="6" t="s">
        <v>67</v>
      </c>
    </row>
    <row r="47" spans="1:5" ht="52.8" x14ac:dyDescent="0.3">
      <c r="A47" s="6" t="s">
        <v>172</v>
      </c>
      <c r="B47" s="6" t="s">
        <v>173</v>
      </c>
      <c r="C47" s="6" t="s">
        <v>174</v>
      </c>
      <c r="D47" s="6" t="s">
        <v>129</v>
      </c>
      <c r="E47" s="6" t="s">
        <v>67</v>
      </c>
    </row>
    <row r="48" spans="1:5" ht="52.8" x14ac:dyDescent="0.3">
      <c r="A48" s="6" t="s">
        <v>175</v>
      </c>
      <c r="B48" s="6" t="s">
        <v>176</v>
      </c>
      <c r="C48" s="6" t="s">
        <v>177</v>
      </c>
      <c r="D48" s="6" t="s">
        <v>129</v>
      </c>
      <c r="E48" s="6" t="s">
        <v>67</v>
      </c>
    </row>
    <row r="49" spans="1:5" ht="52.8" x14ac:dyDescent="0.3">
      <c r="A49" s="6" t="s">
        <v>178</v>
      </c>
      <c r="B49" s="6" t="s">
        <v>179</v>
      </c>
      <c r="C49" s="6" t="s">
        <v>180</v>
      </c>
      <c r="D49" s="6" t="s">
        <v>129</v>
      </c>
      <c r="E49" s="6" t="s">
        <v>67</v>
      </c>
    </row>
    <row r="50" spans="1:5" ht="52.8" x14ac:dyDescent="0.3">
      <c r="A50" s="6" t="s">
        <v>181</v>
      </c>
      <c r="B50" s="6" t="s">
        <v>182</v>
      </c>
      <c r="C50" s="6" t="s">
        <v>183</v>
      </c>
      <c r="D50" s="6" t="s">
        <v>129</v>
      </c>
      <c r="E50" s="6" t="s">
        <v>67</v>
      </c>
    </row>
    <row r="51" spans="1:5" ht="52.8" x14ac:dyDescent="0.3">
      <c r="A51" s="6" t="s">
        <v>184</v>
      </c>
      <c r="B51" s="6" t="s">
        <v>185</v>
      </c>
      <c r="C51" s="6" t="s">
        <v>186</v>
      </c>
      <c r="D51" s="6" t="s">
        <v>129</v>
      </c>
      <c r="E51" s="6" t="s">
        <v>67</v>
      </c>
    </row>
    <row r="52" spans="1:5" ht="52.8" x14ac:dyDescent="0.3">
      <c r="A52" s="6" t="s">
        <v>187</v>
      </c>
      <c r="B52" s="6" t="s">
        <v>188</v>
      </c>
      <c r="C52" s="6" t="s">
        <v>189</v>
      </c>
      <c r="D52" s="6" t="s">
        <v>129</v>
      </c>
      <c r="E52" s="6" t="s">
        <v>67</v>
      </c>
    </row>
    <row r="53" spans="1:5" ht="52.8" x14ac:dyDescent="0.3">
      <c r="A53" s="6" t="s">
        <v>190</v>
      </c>
      <c r="B53" s="6" t="s">
        <v>191</v>
      </c>
      <c r="C53" s="6" t="s">
        <v>192</v>
      </c>
      <c r="D53" s="6" t="s">
        <v>129</v>
      </c>
      <c r="E53" s="6" t="s">
        <v>67</v>
      </c>
    </row>
    <row r="54" spans="1:5" ht="52.8" x14ac:dyDescent="0.3">
      <c r="A54" s="7" t="s">
        <v>193</v>
      </c>
      <c r="B54" s="7" t="s">
        <v>194</v>
      </c>
      <c r="C54" s="7" t="s">
        <v>195</v>
      </c>
      <c r="D54" s="7" t="s">
        <v>129</v>
      </c>
      <c r="E54" s="7" t="s">
        <v>113</v>
      </c>
    </row>
    <row r="55" spans="1:5" ht="52.8" x14ac:dyDescent="0.3">
      <c r="A55" s="7" t="s">
        <v>196</v>
      </c>
      <c r="B55" s="7" t="s">
        <v>197</v>
      </c>
      <c r="C55" s="7" t="s">
        <v>198</v>
      </c>
      <c r="D55" s="7" t="s">
        <v>129</v>
      </c>
      <c r="E55" s="7" t="s">
        <v>113</v>
      </c>
    </row>
    <row r="56" spans="1:5" ht="52.8" x14ac:dyDescent="0.3">
      <c r="A56" s="7" t="s">
        <v>199</v>
      </c>
      <c r="B56" s="7" t="s">
        <v>200</v>
      </c>
      <c r="C56" s="7" t="s">
        <v>201</v>
      </c>
      <c r="D56" s="7" t="s">
        <v>129</v>
      </c>
      <c r="E56" s="7" t="s">
        <v>113</v>
      </c>
    </row>
    <row r="57" spans="1:5" ht="52.8" x14ac:dyDescent="0.3">
      <c r="A57" s="7" t="s">
        <v>202</v>
      </c>
      <c r="B57" s="7" t="s">
        <v>203</v>
      </c>
      <c r="C57" s="7" t="s">
        <v>204</v>
      </c>
      <c r="D57" s="7" t="s">
        <v>129</v>
      </c>
      <c r="E57" s="7" t="s">
        <v>113</v>
      </c>
    </row>
    <row r="58" spans="1:5" ht="52.8" x14ac:dyDescent="0.3">
      <c r="A58" s="7" t="s">
        <v>205</v>
      </c>
      <c r="B58" s="7" t="s">
        <v>206</v>
      </c>
      <c r="C58" s="7" t="s">
        <v>207</v>
      </c>
      <c r="D58" s="7" t="s">
        <v>129</v>
      </c>
      <c r="E58" s="7" t="s">
        <v>113</v>
      </c>
    </row>
    <row r="59" spans="1:5" ht="52.8" x14ac:dyDescent="0.3">
      <c r="A59" s="5" t="s">
        <v>208</v>
      </c>
      <c r="B59" s="5" t="s">
        <v>209</v>
      </c>
      <c r="C59" s="5" t="s">
        <v>210</v>
      </c>
      <c r="D59" s="5" t="s">
        <v>211</v>
      </c>
      <c r="E59" s="5" t="s">
        <v>36</v>
      </c>
    </row>
    <row r="60" spans="1:5" ht="52.8" x14ac:dyDescent="0.3">
      <c r="A60" s="5" t="s">
        <v>212</v>
      </c>
      <c r="B60" s="5" t="s">
        <v>213</v>
      </c>
      <c r="C60" s="5" t="s">
        <v>214</v>
      </c>
      <c r="D60" s="5" t="s">
        <v>211</v>
      </c>
      <c r="E60" s="5" t="s">
        <v>36</v>
      </c>
    </row>
    <row r="61" spans="1:5" ht="52.8" x14ac:dyDescent="0.3">
      <c r="A61" s="5" t="s">
        <v>215</v>
      </c>
      <c r="B61" s="5" t="s">
        <v>216</v>
      </c>
      <c r="C61" s="5" t="s">
        <v>217</v>
      </c>
      <c r="D61" s="5" t="s">
        <v>211</v>
      </c>
      <c r="E61" s="5" t="s">
        <v>36</v>
      </c>
    </row>
    <row r="62" spans="1:5" ht="52.8" x14ac:dyDescent="0.3">
      <c r="A62" s="5" t="s">
        <v>218</v>
      </c>
      <c r="B62" s="5" t="s">
        <v>219</v>
      </c>
      <c r="C62" s="5" t="s">
        <v>220</v>
      </c>
      <c r="D62" s="5" t="s">
        <v>211</v>
      </c>
      <c r="E62" s="5" t="s">
        <v>36</v>
      </c>
    </row>
    <row r="63" spans="1:5" ht="52.8" x14ac:dyDescent="0.3">
      <c r="A63" s="5" t="s">
        <v>221</v>
      </c>
      <c r="B63" s="5" t="s">
        <v>222</v>
      </c>
      <c r="C63" s="5" t="s">
        <v>223</v>
      </c>
      <c r="D63" s="5" t="s">
        <v>211</v>
      </c>
      <c r="E63" s="5" t="s">
        <v>36</v>
      </c>
    </row>
    <row r="64" spans="1:5" ht="52.8" x14ac:dyDescent="0.3">
      <c r="A64" s="5" t="s">
        <v>224</v>
      </c>
      <c r="B64" s="5" t="s">
        <v>225</v>
      </c>
      <c r="C64" s="5" t="s">
        <v>226</v>
      </c>
      <c r="D64" s="5" t="s">
        <v>211</v>
      </c>
      <c r="E64" s="5" t="s">
        <v>36</v>
      </c>
    </row>
    <row r="65" spans="1:5" ht="52.8" x14ac:dyDescent="0.3">
      <c r="A65" s="5" t="s">
        <v>227</v>
      </c>
      <c r="B65" s="5" t="s">
        <v>228</v>
      </c>
      <c r="C65" s="5" t="s">
        <v>229</v>
      </c>
      <c r="D65" s="5" t="s">
        <v>211</v>
      </c>
      <c r="E65" s="5" t="s">
        <v>36</v>
      </c>
    </row>
    <row r="66" spans="1:5" ht="52.8" x14ac:dyDescent="0.3">
      <c r="A66" s="5" t="s">
        <v>230</v>
      </c>
      <c r="B66" s="5" t="s">
        <v>231</v>
      </c>
      <c r="C66" s="5" t="s">
        <v>232</v>
      </c>
      <c r="D66" s="5" t="s">
        <v>211</v>
      </c>
      <c r="E66" s="5" t="s">
        <v>36</v>
      </c>
    </row>
    <row r="67" spans="1:5" ht="52.8" x14ac:dyDescent="0.3">
      <c r="A67" s="6" t="s">
        <v>233</v>
      </c>
      <c r="B67" s="6" t="s">
        <v>234</v>
      </c>
      <c r="C67" s="6" t="s">
        <v>235</v>
      </c>
      <c r="D67" s="6" t="s">
        <v>211</v>
      </c>
      <c r="E67" s="6" t="s">
        <v>67</v>
      </c>
    </row>
    <row r="68" spans="1:5" ht="52.8" x14ac:dyDescent="0.3">
      <c r="A68" s="6" t="s">
        <v>236</v>
      </c>
      <c r="B68" s="6" t="s">
        <v>237</v>
      </c>
      <c r="C68" s="6" t="s">
        <v>238</v>
      </c>
      <c r="D68" s="6" t="s">
        <v>211</v>
      </c>
      <c r="E68" s="6" t="s">
        <v>67</v>
      </c>
    </row>
    <row r="69" spans="1:5" ht="52.8" x14ac:dyDescent="0.3">
      <c r="A69" s="6" t="s">
        <v>239</v>
      </c>
      <c r="B69" s="6" t="s">
        <v>240</v>
      </c>
      <c r="C69" s="6" t="s">
        <v>241</v>
      </c>
      <c r="D69" s="6" t="s">
        <v>211</v>
      </c>
      <c r="E69" s="6" t="s">
        <v>67</v>
      </c>
    </row>
    <row r="70" spans="1:5" ht="52.8" x14ac:dyDescent="0.3">
      <c r="A70" s="6" t="s">
        <v>242</v>
      </c>
      <c r="B70" s="6" t="s">
        <v>243</v>
      </c>
      <c r="C70" s="6" t="s">
        <v>244</v>
      </c>
      <c r="D70" s="6" t="s">
        <v>211</v>
      </c>
      <c r="E70" s="6" t="s">
        <v>67</v>
      </c>
    </row>
    <row r="71" spans="1:5" ht="52.8" x14ac:dyDescent="0.3">
      <c r="A71" s="6" t="s">
        <v>245</v>
      </c>
      <c r="B71" s="6" t="s">
        <v>246</v>
      </c>
      <c r="C71" s="6" t="s">
        <v>247</v>
      </c>
      <c r="D71" s="6" t="s">
        <v>211</v>
      </c>
      <c r="E71" s="6" t="s">
        <v>67</v>
      </c>
    </row>
    <row r="72" spans="1:5" ht="52.8" x14ac:dyDescent="0.3">
      <c r="A72" s="6" t="s">
        <v>248</v>
      </c>
      <c r="B72" s="6" t="s">
        <v>249</v>
      </c>
      <c r="C72" s="6" t="s">
        <v>250</v>
      </c>
      <c r="D72" s="6" t="s">
        <v>211</v>
      </c>
      <c r="E72" s="6" t="s">
        <v>67</v>
      </c>
    </row>
    <row r="73" spans="1:5" ht="52.8" x14ac:dyDescent="0.3">
      <c r="A73" s="6" t="s">
        <v>251</v>
      </c>
      <c r="B73" s="6" t="s">
        <v>252</v>
      </c>
      <c r="C73" s="6" t="s">
        <v>253</v>
      </c>
      <c r="D73" s="6" t="s">
        <v>211</v>
      </c>
      <c r="E73" s="6" t="s">
        <v>67</v>
      </c>
    </row>
    <row r="74" spans="1:5" ht="52.8" x14ac:dyDescent="0.3">
      <c r="A74" s="6" t="s">
        <v>254</v>
      </c>
      <c r="B74" s="6" t="s">
        <v>255</v>
      </c>
      <c r="C74" s="6" t="s">
        <v>256</v>
      </c>
      <c r="D74" s="6" t="s">
        <v>211</v>
      </c>
      <c r="E74" s="6" t="s">
        <v>67</v>
      </c>
    </row>
    <row r="75" spans="1:5" ht="52.8" x14ac:dyDescent="0.3">
      <c r="A75" s="6" t="s">
        <v>257</v>
      </c>
      <c r="B75" s="6" t="s">
        <v>258</v>
      </c>
      <c r="C75" s="6" t="s">
        <v>259</v>
      </c>
      <c r="D75" s="6" t="s">
        <v>211</v>
      </c>
      <c r="E75" s="6" t="s">
        <v>67</v>
      </c>
    </row>
    <row r="76" spans="1:5" ht="52.8" x14ac:dyDescent="0.3">
      <c r="A76" s="6" t="s">
        <v>260</v>
      </c>
      <c r="B76" s="6" t="s">
        <v>261</v>
      </c>
      <c r="C76" s="6" t="s">
        <v>262</v>
      </c>
      <c r="D76" s="6" t="s">
        <v>211</v>
      </c>
      <c r="E76" s="6" t="s">
        <v>67</v>
      </c>
    </row>
    <row r="77" spans="1:5" ht="52.8" x14ac:dyDescent="0.3">
      <c r="A77" s="7" t="s">
        <v>263</v>
      </c>
      <c r="B77" s="7" t="s">
        <v>264</v>
      </c>
      <c r="C77" s="7" t="s">
        <v>265</v>
      </c>
      <c r="D77" s="7" t="s">
        <v>211</v>
      </c>
      <c r="E77" s="7" t="s">
        <v>113</v>
      </c>
    </row>
    <row r="78" spans="1:5" ht="52.8" x14ac:dyDescent="0.3">
      <c r="A78" s="7" t="s">
        <v>266</v>
      </c>
      <c r="B78" s="7" t="s">
        <v>267</v>
      </c>
      <c r="C78" s="7" t="s">
        <v>268</v>
      </c>
      <c r="D78" s="7" t="s">
        <v>211</v>
      </c>
      <c r="E78" s="7" t="s">
        <v>113</v>
      </c>
    </row>
    <row r="79" spans="1:5" ht="52.8" x14ac:dyDescent="0.3">
      <c r="A79" s="7" t="s">
        <v>269</v>
      </c>
      <c r="B79" s="7" t="s">
        <v>270</v>
      </c>
      <c r="C79" s="7" t="s">
        <v>271</v>
      </c>
      <c r="D79" s="7" t="s">
        <v>211</v>
      </c>
      <c r="E79" s="7" t="s">
        <v>113</v>
      </c>
    </row>
    <row r="80" spans="1:5" ht="52.8" x14ac:dyDescent="0.3">
      <c r="A80" s="5" t="s">
        <v>145</v>
      </c>
      <c r="B80" s="5" t="s">
        <v>272</v>
      </c>
      <c r="C80" s="5" t="s">
        <v>147</v>
      </c>
      <c r="D80" s="5" t="s">
        <v>273</v>
      </c>
      <c r="E80" s="5" t="s">
        <v>36</v>
      </c>
    </row>
    <row r="81" spans="1:5" ht="52.8" x14ac:dyDescent="0.3">
      <c r="A81" s="5" t="s">
        <v>274</v>
      </c>
      <c r="B81" s="5" t="s">
        <v>275</v>
      </c>
      <c r="C81" s="5" t="s">
        <v>276</v>
      </c>
      <c r="D81" s="5" t="s">
        <v>273</v>
      </c>
      <c r="E81" s="5" t="s">
        <v>36</v>
      </c>
    </row>
    <row r="82" spans="1:5" ht="52.8" x14ac:dyDescent="0.3">
      <c r="A82" s="5" t="s">
        <v>277</v>
      </c>
      <c r="B82" s="5" t="s">
        <v>278</v>
      </c>
      <c r="C82" s="5" t="s">
        <v>279</v>
      </c>
      <c r="D82" s="5" t="s">
        <v>273</v>
      </c>
      <c r="E82" s="5" t="s">
        <v>36</v>
      </c>
    </row>
    <row r="83" spans="1:5" ht="52.8" x14ac:dyDescent="0.3">
      <c r="A83" s="5" t="s">
        <v>280</v>
      </c>
      <c r="B83" s="5" t="s">
        <v>281</v>
      </c>
      <c r="C83" s="5" t="s">
        <v>282</v>
      </c>
      <c r="D83" s="5" t="s">
        <v>273</v>
      </c>
      <c r="E83" s="5" t="s">
        <v>36</v>
      </c>
    </row>
    <row r="84" spans="1:5" ht="52.8" x14ac:dyDescent="0.3">
      <c r="A84" s="5" t="s">
        <v>283</v>
      </c>
      <c r="B84" s="5" t="s">
        <v>284</v>
      </c>
      <c r="C84" s="5" t="s">
        <v>285</v>
      </c>
      <c r="D84" s="5" t="s">
        <v>273</v>
      </c>
      <c r="E84" s="5" t="s">
        <v>36</v>
      </c>
    </row>
    <row r="85" spans="1:5" ht="52.8" x14ac:dyDescent="0.3">
      <c r="A85" s="5" t="s">
        <v>286</v>
      </c>
      <c r="B85" s="5" t="s">
        <v>287</v>
      </c>
      <c r="C85" s="5" t="s">
        <v>288</v>
      </c>
      <c r="D85" s="5" t="s">
        <v>273</v>
      </c>
      <c r="E85" s="5" t="s">
        <v>36</v>
      </c>
    </row>
    <row r="86" spans="1:5" ht="52.8" x14ac:dyDescent="0.3">
      <c r="A86" s="6" t="s">
        <v>289</v>
      </c>
      <c r="B86" s="6" t="s">
        <v>290</v>
      </c>
      <c r="C86" s="6" t="s">
        <v>291</v>
      </c>
      <c r="D86" s="6" t="s">
        <v>273</v>
      </c>
      <c r="E86" s="6" t="s">
        <v>67</v>
      </c>
    </row>
    <row r="87" spans="1:5" ht="52.8" x14ac:dyDescent="0.3">
      <c r="A87" s="6" t="s">
        <v>292</v>
      </c>
      <c r="B87" s="6" t="s">
        <v>293</v>
      </c>
      <c r="C87" s="6" t="s">
        <v>294</v>
      </c>
      <c r="D87" s="6" t="s">
        <v>273</v>
      </c>
      <c r="E87" s="6" t="s">
        <v>67</v>
      </c>
    </row>
    <row r="88" spans="1:5" ht="52.8" x14ac:dyDescent="0.3">
      <c r="A88" s="6" t="s">
        <v>295</v>
      </c>
      <c r="B88" s="6" t="s">
        <v>296</v>
      </c>
      <c r="C88" s="6" t="s">
        <v>297</v>
      </c>
      <c r="D88" s="6" t="s">
        <v>273</v>
      </c>
      <c r="E88" s="6" t="s">
        <v>67</v>
      </c>
    </row>
    <row r="89" spans="1:5" ht="52.8" x14ac:dyDescent="0.3">
      <c r="A89" s="6" t="s">
        <v>298</v>
      </c>
      <c r="B89" s="6" t="s">
        <v>299</v>
      </c>
      <c r="C89" s="6" t="s">
        <v>300</v>
      </c>
      <c r="D89" s="6" t="s">
        <v>273</v>
      </c>
      <c r="E89" s="6" t="s">
        <v>67</v>
      </c>
    </row>
    <row r="90" spans="1:5" ht="52.8" x14ac:dyDescent="0.3">
      <c r="A90" s="6" t="s">
        <v>190</v>
      </c>
      <c r="B90" s="6" t="s">
        <v>301</v>
      </c>
      <c r="C90" s="6" t="s">
        <v>302</v>
      </c>
      <c r="D90" s="6" t="s">
        <v>273</v>
      </c>
      <c r="E90" s="6" t="s">
        <v>67</v>
      </c>
    </row>
    <row r="91" spans="1:5" ht="52.8" x14ac:dyDescent="0.3">
      <c r="A91" s="6" t="s">
        <v>184</v>
      </c>
      <c r="B91" s="6" t="s">
        <v>303</v>
      </c>
      <c r="C91" s="6" t="s">
        <v>304</v>
      </c>
      <c r="D91" s="6" t="s">
        <v>273</v>
      </c>
      <c r="E91" s="6" t="s">
        <v>67</v>
      </c>
    </row>
    <row r="92" spans="1:5" ht="52.8" x14ac:dyDescent="0.3">
      <c r="A92" s="6" t="s">
        <v>305</v>
      </c>
      <c r="B92" s="6" t="s">
        <v>306</v>
      </c>
      <c r="C92" s="6" t="s">
        <v>307</v>
      </c>
      <c r="D92" s="6" t="s">
        <v>273</v>
      </c>
      <c r="E92" s="6" t="s">
        <v>67</v>
      </c>
    </row>
    <row r="93" spans="1:5" ht="52.8" x14ac:dyDescent="0.3">
      <c r="A93" s="6" t="s">
        <v>308</v>
      </c>
      <c r="B93" s="6" t="s">
        <v>309</v>
      </c>
      <c r="C93" s="6" t="s">
        <v>310</v>
      </c>
      <c r="D93" s="6" t="s">
        <v>273</v>
      </c>
      <c r="E93" s="6" t="s">
        <v>67</v>
      </c>
    </row>
    <row r="94" spans="1:5" ht="52.8" x14ac:dyDescent="0.3">
      <c r="A94" s="6" t="s">
        <v>311</v>
      </c>
      <c r="B94" s="6" t="s">
        <v>312</v>
      </c>
      <c r="C94" s="6" t="s">
        <v>313</v>
      </c>
      <c r="D94" s="6" t="s">
        <v>273</v>
      </c>
      <c r="E94" s="6" t="s">
        <v>67</v>
      </c>
    </row>
    <row r="95" spans="1:5" ht="52.8" x14ac:dyDescent="0.3">
      <c r="A95" s="7" t="s">
        <v>120</v>
      </c>
      <c r="B95" s="7" t="s">
        <v>314</v>
      </c>
      <c r="C95" s="7" t="s">
        <v>315</v>
      </c>
      <c r="D95" s="7" t="s">
        <v>273</v>
      </c>
      <c r="E95" s="7" t="s">
        <v>113</v>
      </c>
    </row>
    <row r="96" spans="1:5" ht="52.8" x14ac:dyDescent="0.3">
      <c r="A96" s="7" t="s">
        <v>316</v>
      </c>
      <c r="B96" s="7" t="s">
        <v>317</v>
      </c>
      <c r="C96" s="7" t="s">
        <v>318</v>
      </c>
      <c r="D96" s="7" t="s">
        <v>273</v>
      </c>
      <c r="E96" s="7" t="s">
        <v>113</v>
      </c>
    </row>
    <row r="97" spans="1:5" ht="52.8" x14ac:dyDescent="0.3">
      <c r="A97" s="7" t="s">
        <v>319</v>
      </c>
      <c r="B97" s="7" t="s">
        <v>320</v>
      </c>
      <c r="C97" s="7" t="s">
        <v>321</v>
      </c>
      <c r="D97" s="7" t="s">
        <v>273</v>
      </c>
      <c r="E97" s="7" t="s">
        <v>113</v>
      </c>
    </row>
    <row r="98" spans="1:5" ht="52.8" x14ac:dyDescent="0.3">
      <c r="A98" s="7" t="s">
        <v>322</v>
      </c>
      <c r="B98" s="7" t="s">
        <v>323</v>
      </c>
      <c r="C98" s="7" t="s">
        <v>324</v>
      </c>
      <c r="D98" s="7" t="s">
        <v>273</v>
      </c>
      <c r="E98" s="7" t="s">
        <v>113</v>
      </c>
    </row>
    <row r="99" spans="1:5" ht="52.8" x14ac:dyDescent="0.3">
      <c r="A99" s="5" t="s">
        <v>325</v>
      </c>
      <c r="B99" s="5" t="s">
        <v>326</v>
      </c>
      <c r="C99" s="5" t="s">
        <v>327</v>
      </c>
      <c r="D99" s="5" t="s">
        <v>328</v>
      </c>
      <c r="E99" s="5" t="s">
        <v>36</v>
      </c>
    </row>
    <row r="100" spans="1:5" ht="52.8" x14ac:dyDescent="0.3">
      <c r="A100" s="5" t="s">
        <v>329</v>
      </c>
      <c r="B100" s="5" t="s">
        <v>330</v>
      </c>
      <c r="C100" s="5" t="s">
        <v>331</v>
      </c>
      <c r="D100" s="5" t="s">
        <v>328</v>
      </c>
      <c r="E100" s="5" t="s">
        <v>36</v>
      </c>
    </row>
    <row r="101" spans="1:5" ht="52.8" x14ac:dyDescent="0.3">
      <c r="A101" s="6" t="s">
        <v>332</v>
      </c>
      <c r="B101" s="6" t="s">
        <v>333</v>
      </c>
      <c r="C101" s="6" t="s">
        <v>334</v>
      </c>
      <c r="D101" s="6" t="s">
        <v>328</v>
      </c>
      <c r="E101" s="6" t="s">
        <v>67</v>
      </c>
    </row>
    <row r="102" spans="1:5" ht="52.8" x14ac:dyDescent="0.3">
      <c r="A102" s="6" t="s">
        <v>335</v>
      </c>
      <c r="B102" s="6" t="s">
        <v>336</v>
      </c>
      <c r="C102" s="6" t="s">
        <v>337</v>
      </c>
      <c r="D102" s="6" t="s">
        <v>328</v>
      </c>
      <c r="E102" s="6" t="s">
        <v>67</v>
      </c>
    </row>
    <row r="103" spans="1:5" ht="52.8" x14ac:dyDescent="0.3">
      <c r="A103" s="6" t="s">
        <v>338</v>
      </c>
      <c r="B103" s="6" t="s">
        <v>339</v>
      </c>
      <c r="C103" s="6" t="s">
        <v>340</v>
      </c>
      <c r="D103" s="6" t="s">
        <v>328</v>
      </c>
      <c r="E103" s="6" t="s">
        <v>67</v>
      </c>
    </row>
    <row r="104" spans="1:5" ht="52.8" x14ac:dyDescent="0.3">
      <c r="A104" s="6" t="s">
        <v>274</v>
      </c>
      <c r="B104" s="6" t="s">
        <v>275</v>
      </c>
      <c r="C104" s="6" t="s">
        <v>341</v>
      </c>
      <c r="D104" s="6" t="s">
        <v>328</v>
      </c>
      <c r="E104" s="6" t="s">
        <v>67</v>
      </c>
    </row>
    <row r="105" spans="1:5" ht="52.8" x14ac:dyDescent="0.3">
      <c r="A105" s="7" t="s">
        <v>123</v>
      </c>
      <c r="B105" s="7" t="s">
        <v>342</v>
      </c>
      <c r="C105" s="7" t="s">
        <v>343</v>
      </c>
      <c r="D105" s="7" t="s">
        <v>328</v>
      </c>
      <c r="E105" s="7" t="s">
        <v>113</v>
      </c>
    </row>
    <row r="106" spans="1:5" ht="52.8" x14ac:dyDescent="0.3">
      <c r="A106" s="5" t="s">
        <v>344</v>
      </c>
      <c r="B106" s="5" t="s">
        <v>345</v>
      </c>
      <c r="C106" s="5" t="s">
        <v>346</v>
      </c>
      <c r="D106" s="5" t="s">
        <v>347</v>
      </c>
      <c r="E106" s="5" t="s">
        <v>36</v>
      </c>
    </row>
    <row r="107" spans="1:5" ht="52.8" x14ac:dyDescent="0.3">
      <c r="A107" s="5" t="s">
        <v>348</v>
      </c>
      <c r="B107" s="5" t="s">
        <v>349</v>
      </c>
      <c r="C107" s="5" t="s">
        <v>350</v>
      </c>
      <c r="D107" s="5" t="s">
        <v>347</v>
      </c>
      <c r="E107" s="5" t="s">
        <v>36</v>
      </c>
    </row>
    <row r="108" spans="1:5" ht="52.8" x14ac:dyDescent="0.3">
      <c r="A108" s="5" t="s">
        <v>351</v>
      </c>
      <c r="B108" s="5" t="s">
        <v>352</v>
      </c>
      <c r="C108" s="5" t="s">
        <v>353</v>
      </c>
      <c r="D108" s="5" t="s">
        <v>347</v>
      </c>
      <c r="E108" s="5" t="s">
        <v>36</v>
      </c>
    </row>
    <row r="109" spans="1:5" ht="52.8" x14ac:dyDescent="0.3">
      <c r="A109" s="5" t="s">
        <v>354</v>
      </c>
      <c r="B109" s="5" t="s">
        <v>355</v>
      </c>
      <c r="C109" s="5" t="s">
        <v>356</v>
      </c>
      <c r="D109" s="5" t="s">
        <v>347</v>
      </c>
      <c r="E109" s="5" t="s">
        <v>36</v>
      </c>
    </row>
    <row r="110" spans="1:5" ht="52.8" x14ac:dyDescent="0.3">
      <c r="A110" s="5" t="s">
        <v>357</v>
      </c>
      <c r="B110" s="5" t="s">
        <v>358</v>
      </c>
      <c r="C110" s="5" t="s">
        <v>359</v>
      </c>
      <c r="D110" s="5" t="s">
        <v>347</v>
      </c>
      <c r="E110" s="5" t="s">
        <v>36</v>
      </c>
    </row>
    <row r="111" spans="1:5" ht="52.8" x14ac:dyDescent="0.3">
      <c r="A111" s="5" t="s">
        <v>360</v>
      </c>
      <c r="B111" s="5" t="s">
        <v>361</v>
      </c>
      <c r="C111" s="5" t="s">
        <v>362</v>
      </c>
      <c r="D111" s="5" t="s">
        <v>347</v>
      </c>
      <c r="E111" s="5" t="s">
        <v>36</v>
      </c>
    </row>
    <row r="112" spans="1:5" ht="52.8" x14ac:dyDescent="0.3">
      <c r="A112" s="5" t="s">
        <v>363</v>
      </c>
      <c r="B112" s="5" t="s">
        <v>364</v>
      </c>
      <c r="C112" s="5" t="s">
        <v>365</v>
      </c>
      <c r="D112" s="5" t="s">
        <v>347</v>
      </c>
      <c r="E112" s="5" t="s">
        <v>36</v>
      </c>
    </row>
    <row r="113" spans="1:5" ht="52.8" x14ac:dyDescent="0.3">
      <c r="A113" s="5" t="s">
        <v>366</v>
      </c>
      <c r="B113" s="5" t="s">
        <v>367</v>
      </c>
      <c r="C113" s="5" t="s">
        <v>368</v>
      </c>
      <c r="D113" s="5" t="s">
        <v>347</v>
      </c>
      <c r="E113" s="5" t="s">
        <v>36</v>
      </c>
    </row>
    <row r="114" spans="1:5" ht="52.8" x14ac:dyDescent="0.3">
      <c r="A114" s="5" t="s">
        <v>369</v>
      </c>
      <c r="B114" s="5" t="s">
        <v>370</v>
      </c>
      <c r="C114" s="5" t="s">
        <v>371</v>
      </c>
      <c r="D114" s="5" t="s">
        <v>347</v>
      </c>
      <c r="E114" s="5" t="s">
        <v>36</v>
      </c>
    </row>
    <row r="115" spans="1:5" ht="52.8" x14ac:dyDescent="0.3">
      <c r="A115" s="5" t="s">
        <v>372</v>
      </c>
      <c r="B115" s="5" t="s">
        <v>373</v>
      </c>
      <c r="C115" s="5" t="s">
        <v>374</v>
      </c>
      <c r="D115" s="5" t="s">
        <v>347</v>
      </c>
      <c r="E115" s="5" t="s">
        <v>36</v>
      </c>
    </row>
    <row r="116" spans="1:5" ht="52.8" x14ac:dyDescent="0.3">
      <c r="A116" s="5" t="s">
        <v>375</v>
      </c>
      <c r="B116" s="5" t="s">
        <v>376</v>
      </c>
      <c r="C116" s="5" t="s">
        <v>377</v>
      </c>
      <c r="D116" s="5" t="s">
        <v>347</v>
      </c>
      <c r="E116" s="5" t="s">
        <v>36</v>
      </c>
    </row>
    <row r="117" spans="1:5" ht="52.8" x14ac:dyDescent="0.3">
      <c r="A117" s="6" t="s">
        <v>378</v>
      </c>
      <c r="B117" s="6" t="s">
        <v>379</v>
      </c>
      <c r="C117" s="6" t="s">
        <v>380</v>
      </c>
      <c r="D117" s="6" t="s">
        <v>347</v>
      </c>
      <c r="E117" s="6" t="s">
        <v>67</v>
      </c>
    </row>
    <row r="118" spans="1:5" ht="52.8" x14ac:dyDescent="0.3">
      <c r="A118" s="6" t="s">
        <v>381</v>
      </c>
      <c r="B118" s="6" t="s">
        <v>382</v>
      </c>
      <c r="C118" s="6" t="s">
        <v>383</v>
      </c>
      <c r="D118" s="6" t="s">
        <v>347</v>
      </c>
      <c r="E118" s="6" t="s">
        <v>67</v>
      </c>
    </row>
    <row r="119" spans="1:5" ht="52.8" x14ac:dyDescent="0.3">
      <c r="A119" s="6" t="s">
        <v>384</v>
      </c>
      <c r="B119" s="6" t="s">
        <v>385</v>
      </c>
      <c r="C119" s="6" t="s">
        <v>386</v>
      </c>
      <c r="D119" s="6" t="s">
        <v>347</v>
      </c>
      <c r="E119" s="6" t="s">
        <v>67</v>
      </c>
    </row>
    <row r="120" spans="1:5" ht="52.8" x14ac:dyDescent="0.3">
      <c r="A120" s="6" t="s">
        <v>387</v>
      </c>
      <c r="B120" s="6" t="s">
        <v>388</v>
      </c>
      <c r="C120" s="6" t="s">
        <v>389</v>
      </c>
      <c r="D120" s="6" t="s">
        <v>347</v>
      </c>
      <c r="E120" s="6" t="s">
        <v>67</v>
      </c>
    </row>
    <row r="121" spans="1:5" ht="52.8" x14ac:dyDescent="0.3">
      <c r="A121" s="6" t="s">
        <v>390</v>
      </c>
      <c r="B121" s="6" t="s">
        <v>388</v>
      </c>
      <c r="C121" s="6" t="s">
        <v>391</v>
      </c>
      <c r="D121" s="6" t="s">
        <v>347</v>
      </c>
      <c r="E121" s="6" t="s">
        <v>67</v>
      </c>
    </row>
    <row r="122" spans="1:5" ht="52.8" x14ac:dyDescent="0.3">
      <c r="A122" s="6" t="s">
        <v>392</v>
      </c>
      <c r="B122" s="6" t="s">
        <v>393</v>
      </c>
      <c r="C122" s="6" t="s">
        <v>394</v>
      </c>
      <c r="D122" s="6" t="s">
        <v>347</v>
      </c>
      <c r="E122" s="6" t="s">
        <v>67</v>
      </c>
    </row>
    <row r="123" spans="1:5" ht="52.8" x14ac:dyDescent="0.3">
      <c r="A123" s="6" t="s">
        <v>395</v>
      </c>
      <c r="B123" s="6" t="s">
        <v>396</v>
      </c>
      <c r="C123" s="6" t="s">
        <v>397</v>
      </c>
      <c r="D123" s="6" t="s">
        <v>347</v>
      </c>
      <c r="E123" s="6" t="s">
        <v>67</v>
      </c>
    </row>
    <row r="124" spans="1:5" ht="52.8" x14ac:dyDescent="0.3">
      <c r="A124" s="6" t="s">
        <v>398</v>
      </c>
      <c r="B124" s="6" t="s">
        <v>399</v>
      </c>
      <c r="C124" s="6" t="s">
        <v>400</v>
      </c>
      <c r="D124" s="6" t="s">
        <v>347</v>
      </c>
      <c r="E124" s="6" t="s">
        <v>67</v>
      </c>
    </row>
    <row r="125" spans="1:5" ht="52.8" x14ac:dyDescent="0.3">
      <c r="A125" s="6" t="s">
        <v>401</v>
      </c>
      <c r="B125" s="6" t="s">
        <v>402</v>
      </c>
      <c r="C125" s="6" t="s">
        <v>403</v>
      </c>
      <c r="D125" s="6" t="s">
        <v>347</v>
      </c>
      <c r="E125" s="6" t="s">
        <v>67</v>
      </c>
    </row>
    <row r="126" spans="1:5" ht="52.8" x14ac:dyDescent="0.3">
      <c r="A126" s="6" t="s">
        <v>404</v>
      </c>
      <c r="B126" s="6" t="s">
        <v>405</v>
      </c>
      <c r="C126" s="6" t="s">
        <v>406</v>
      </c>
      <c r="D126" s="6" t="s">
        <v>347</v>
      </c>
      <c r="E126" s="6" t="s">
        <v>67</v>
      </c>
    </row>
    <row r="127" spans="1:5" ht="52.8" x14ac:dyDescent="0.3">
      <c r="A127" s="6" t="s">
        <v>407</v>
      </c>
      <c r="B127" s="6" t="s">
        <v>408</v>
      </c>
      <c r="C127" s="6" t="s">
        <v>409</v>
      </c>
      <c r="D127" s="6" t="s">
        <v>347</v>
      </c>
      <c r="E127" s="6" t="s">
        <v>67</v>
      </c>
    </row>
    <row r="128" spans="1:5" ht="52.8" x14ac:dyDescent="0.3">
      <c r="A128" s="6" t="s">
        <v>410</v>
      </c>
      <c r="B128" s="6" t="s">
        <v>411</v>
      </c>
      <c r="C128" s="6" t="s">
        <v>412</v>
      </c>
      <c r="D128" s="6" t="s">
        <v>347</v>
      </c>
      <c r="E128" s="6" t="s">
        <v>67</v>
      </c>
    </row>
    <row r="129" spans="1:5" ht="52.8" x14ac:dyDescent="0.3">
      <c r="A129" s="6" t="s">
        <v>413</v>
      </c>
      <c r="B129" s="6" t="s">
        <v>414</v>
      </c>
      <c r="C129" s="6" t="s">
        <v>415</v>
      </c>
      <c r="D129" s="6" t="s">
        <v>347</v>
      </c>
      <c r="E129" s="6" t="s">
        <v>67</v>
      </c>
    </row>
    <row r="130" spans="1:5" ht="52.8" x14ac:dyDescent="0.3">
      <c r="A130" s="6" t="s">
        <v>416</v>
      </c>
      <c r="B130" s="6" t="s">
        <v>417</v>
      </c>
      <c r="C130" s="6" t="s">
        <v>418</v>
      </c>
      <c r="D130" s="6" t="s">
        <v>347</v>
      </c>
      <c r="E130" s="6" t="s">
        <v>67</v>
      </c>
    </row>
    <row r="131" spans="1:5" ht="52.8" x14ac:dyDescent="0.3">
      <c r="A131" s="7" t="s">
        <v>419</v>
      </c>
      <c r="B131" s="7" t="s">
        <v>420</v>
      </c>
      <c r="C131" s="7" t="s">
        <v>421</v>
      </c>
      <c r="D131" s="7" t="s">
        <v>347</v>
      </c>
      <c r="E131" s="7" t="s">
        <v>113</v>
      </c>
    </row>
    <row r="132" spans="1:5" ht="52.8" x14ac:dyDescent="0.3">
      <c r="A132" s="7" t="s">
        <v>422</v>
      </c>
      <c r="B132" s="7" t="s">
        <v>423</v>
      </c>
      <c r="C132" s="7" t="s">
        <v>424</v>
      </c>
      <c r="D132" s="7" t="s">
        <v>347</v>
      </c>
      <c r="E132" s="7" t="s">
        <v>113</v>
      </c>
    </row>
    <row r="133" spans="1:5" ht="52.8" x14ac:dyDescent="0.3">
      <c r="A133" s="7" t="s">
        <v>425</v>
      </c>
      <c r="B133" s="7" t="s">
        <v>426</v>
      </c>
      <c r="C133" s="7" t="s">
        <v>427</v>
      </c>
      <c r="D133" s="7" t="s">
        <v>347</v>
      </c>
      <c r="E133" s="7" t="s">
        <v>113</v>
      </c>
    </row>
    <row r="134" spans="1:5" ht="52.8" x14ac:dyDescent="0.3">
      <c r="A134" s="7" t="s">
        <v>428</v>
      </c>
      <c r="B134" s="7" t="s">
        <v>429</v>
      </c>
      <c r="C134" s="7" t="s">
        <v>430</v>
      </c>
      <c r="D134" s="7" t="s">
        <v>347</v>
      </c>
      <c r="E134" s="7" t="s">
        <v>113</v>
      </c>
    </row>
    <row r="135" spans="1:5" ht="52.8" x14ac:dyDescent="0.3">
      <c r="A135" s="5" t="s">
        <v>431</v>
      </c>
      <c r="B135" s="5" t="s">
        <v>432</v>
      </c>
      <c r="C135" s="5" t="s">
        <v>433</v>
      </c>
      <c r="D135" s="5" t="s">
        <v>434</v>
      </c>
      <c r="E135" s="5" t="s">
        <v>36</v>
      </c>
    </row>
    <row r="136" spans="1:5" ht="52.8" x14ac:dyDescent="0.3">
      <c r="A136" s="5" t="s">
        <v>435</v>
      </c>
      <c r="B136" s="5" t="s">
        <v>436</v>
      </c>
      <c r="C136" s="5" t="s">
        <v>437</v>
      </c>
      <c r="D136" s="5" t="s">
        <v>434</v>
      </c>
      <c r="E136" s="5" t="s">
        <v>36</v>
      </c>
    </row>
    <row r="137" spans="1:5" ht="52.8" x14ac:dyDescent="0.3">
      <c r="A137" s="6" t="s">
        <v>438</v>
      </c>
      <c r="B137" s="6" t="s">
        <v>439</v>
      </c>
      <c r="C137" s="6" t="s">
        <v>440</v>
      </c>
      <c r="D137" s="6" t="s">
        <v>434</v>
      </c>
      <c r="E137" s="6" t="s">
        <v>67</v>
      </c>
    </row>
    <row r="138" spans="1:5" ht="52.8" x14ac:dyDescent="0.3">
      <c r="A138" s="6" t="s">
        <v>441</v>
      </c>
      <c r="B138" s="6" t="s">
        <v>442</v>
      </c>
      <c r="C138" s="6" t="s">
        <v>443</v>
      </c>
      <c r="D138" s="6" t="s">
        <v>434</v>
      </c>
      <c r="E138" s="6" t="s">
        <v>67</v>
      </c>
    </row>
    <row r="139" spans="1:5" ht="52.8" x14ac:dyDescent="0.3">
      <c r="A139" s="6" t="s">
        <v>444</v>
      </c>
      <c r="B139" s="6" t="s">
        <v>445</v>
      </c>
      <c r="C139" s="6" t="s">
        <v>446</v>
      </c>
      <c r="D139" s="6" t="s">
        <v>434</v>
      </c>
      <c r="E139" s="6" t="s">
        <v>67</v>
      </c>
    </row>
    <row r="140" spans="1:5" ht="52.8" x14ac:dyDescent="0.3">
      <c r="A140" s="6" t="s">
        <v>447</v>
      </c>
      <c r="B140" s="6" t="s">
        <v>448</v>
      </c>
      <c r="C140" s="6" t="s">
        <v>449</v>
      </c>
      <c r="D140" s="6" t="s">
        <v>434</v>
      </c>
      <c r="E140" s="6" t="s">
        <v>67</v>
      </c>
    </row>
    <row r="141" spans="1:5" ht="52.8" x14ac:dyDescent="0.3">
      <c r="A141" s="6" t="s">
        <v>450</v>
      </c>
      <c r="B141" s="6" t="s">
        <v>451</v>
      </c>
      <c r="C141" s="6" t="s">
        <v>452</v>
      </c>
      <c r="D141" s="6" t="s">
        <v>434</v>
      </c>
      <c r="E141" s="6" t="s">
        <v>67</v>
      </c>
    </row>
    <row r="142" spans="1:5" ht="52.8" x14ac:dyDescent="0.3">
      <c r="A142" s="6" t="s">
        <v>453</v>
      </c>
      <c r="B142" s="6" t="s">
        <v>454</v>
      </c>
      <c r="C142" s="6" t="s">
        <v>455</v>
      </c>
      <c r="D142" s="6" t="s">
        <v>434</v>
      </c>
      <c r="E142" s="6" t="s">
        <v>67</v>
      </c>
    </row>
    <row r="143" spans="1:5" ht="52.8" x14ac:dyDescent="0.3">
      <c r="A143" s="6" t="s">
        <v>456</v>
      </c>
      <c r="B143" s="6" t="s">
        <v>457</v>
      </c>
      <c r="C143" s="6" t="s">
        <v>458</v>
      </c>
      <c r="D143" s="6" t="s">
        <v>434</v>
      </c>
      <c r="E143" s="6" t="s">
        <v>67</v>
      </c>
    </row>
    <row r="144" spans="1:5" ht="52.8" x14ac:dyDescent="0.3">
      <c r="A144" s="6" t="s">
        <v>459</v>
      </c>
      <c r="B144" s="6" t="s">
        <v>460</v>
      </c>
      <c r="C144" s="6" t="s">
        <v>461</v>
      </c>
      <c r="D144" s="6" t="s">
        <v>434</v>
      </c>
      <c r="E144" s="6" t="s">
        <v>67</v>
      </c>
    </row>
    <row r="145" spans="1:5" ht="52.8" x14ac:dyDescent="0.3">
      <c r="A145" s="6" t="s">
        <v>462</v>
      </c>
      <c r="B145" s="6" t="s">
        <v>463</v>
      </c>
      <c r="C145" s="6" t="s">
        <v>464</v>
      </c>
      <c r="D145" s="6" t="s">
        <v>434</v>
      </c>
      <c r="E145" s="6" t="s">
        <v>67</v>
      </c>
    </row>
    <row r="146" spans="1:5" ht="52.8" x14ac:dyDescent="0.3">
      <c r="A146" s="6" t="s">
        <v>465</v>
      </c>
      <c r="B146" s="6" t="s">
        <v>466</v>
      </c>
      <c r="C146" s="6" t="s">
        <v>467</v>
      </c>
      <c r="D146" s="6" t="s">
        <v>434</v>
      </c>
      <c r="E146" s="6" t="s">
        <v>67</v>
      </c>
    </row>
    <row r="147" spans="1:5" ht="52.8" x14ac:dyDescent="0.3">
      <c r="A147" s="6" t="s">
        <v>468</v>
      </c>
      <c r="B147" s="6" t="s">
        <v>469</v>
      </c>
      <c r="C147" s="6" t="s">
        <v>470</v>
      </c>
      <c r="D147" s="6" t="s">
        <v>434</v>
      </c>
      <c r="E147" s="6" t="s">
        <v>67</v>
      </c>
    </row>
    <row r="148" spans="1:5" ht="52.8" x14ac:dyDescent="0.3">
      <c r="A148" s="6" t="s">
        <v>471</v>
      </c>
      <c r="B148" s="6" t="s">
        <v>472</v>
      </c>
      <c r="C148" s="6" t="s">
        <v>473</v>
      </c>
      <c r="D148" s="6" t="s">
        <v>434</v>
      </c>
      <c r="E148" s="6" t="s">
        <v>67</v>
      </c>
    </row>
    <row r="149" spans="1:5" ht="52.8" x14ac:dyDescent="0.3">
      <c r="A149" s="6" t="s">
        <v>474</v>
      </c>
      <c r="B149" s="6" t="s">
        <v>475</v>
      </c>
      <c r="C149" s="6" t="s">
        <v>476</v>
      </c>
      <c r="D149" s="6" t="s">
        <v>434</v>
      </c>
      <c r="E149" s="6" t="s">
        <v>67</v>
      </c>
    </row>
    <row r="150" spans="1:5" ht="52.8" x14ac:dyDescent="0.3">
      <c r="A150" s="6" t="s">
        <v>477</v>
      </c>
      <c r="B150" s="6" t="s">
        <v>478</v>
      </c>
      <c r="C150" s="6" t="s">
        <v>479</v>
      </c>
      <c r="D150" s="6" t="s">
        <v>434</v>
      </c>
      <c r="E150" s="6" t="s">
        <v>67</v>
      </c>
    </row>
    <row r="151" spans="1:5" ht="52.8" x14ac:dyDescent="0.3">
      <c r="A151" s="7" t="s">
        <v>480</v>
      </c>
      <c r="B151" s="7" t="s">
        <v>481</v>
      </c>
      <c r="C151" s="7" t="s">
        <v>482</v>
      </c>
      <c r="D151" s="7" t="s">
        <v>434</v>
      </c>
      <c r="E151" s="7" t="s">
        <v>113</v>
      </c>
    </row>
    <row r="152" spans="1:5" ht="52.8" x14ac:dyDescent="0.3">
      <c r="A152" s="7" t="s">
        <v>483</v>
      </c>
      <c r="B152" s="7" t="s">
        <v>484</v>
      </c>
      <c r="C152" s="7" t="s">
        <v>485</v>
      </c>
      <c r="D152" s="7" t="s">
        <v>434</v>
      </c>
      <c r="E152" s="7" t="s">
        <v>113</v>
      </c>
    </row>
    <row r="153" spans="1:5" ht="52.8" x14ac:dyDescent="0.3">
      <c r="A153" s="7" t="s">
        <v>486</v>
      </c>
      <c r="B153" s="7" t="s">
        <v>487</v>
      </c>
      <c r="C153" s="7" t="s">
        <v>488</v>
      </c>
      <c r="D153" s="7" t="s">
        <v>434</v>
      </c>
      <c r="E153" s="7" t="s">
        <v>113</v>
      </c>
    </row>
    <row r="154" spans="1:5" ht="52.8" x14ac:dyDescent="0.3">
      <c r="A154" s="7" t="s">
        <v>489</v>
      </c>
      <c r="B154" s="7" t="s">
        <v>490</v>
      </c>
      <c r="C154" s="7" t="s">
        <v>491</v>
      </c>
      <c r="D154" s="7" t="s">
        <v>434</v>
      </c>
      <c r="E154" s="7" t="s">
        <v>113</v>
      </c>
    </row>
    <row r="155" spans="1:5" ht="52.8" x14ac:dyDescent="0.3">
      <c r="A155" s="7" t="s">
        <v>492</v>
      </c>
      <c r="B155" s="7" t="s">
        <v>493</v>
      </c>
      <c r="C155" s="7" t="s">
        <v>494</v>
      </c>
      <c r="D155" s="7" t="s">
        <v>434</v>
      </c>
      <c r="E155" s="7" t="s">
        <v>113</v>
      </c>
    </row>
    <row r="156" spans="1:5" ht="52.8" x14ac:dyDescent="0.3">
      <c r="A156" s="5" t="s">
        <v>495</v>
      </c>
      <c r="B156" s="5" t="s">
        <v>496</v>
      </c>
      <c r="C156" s="5" t="s">
        <v>497</v>
      </c>
      <c r="D156" s="5" t="s">
        <v>498</v>
      </c>
      <c r="E156" s="5" t="s">
        <v>36</v>
      </c>
    </row>
    <row r="157" spans="1:5" ht="52.8" x14ac:dyDescent="0.3">
      <c r="A157" s="5" t="s">
        <v>499</v>
      </c>
      <c r="B157" s="5" t="s">
        <v>500</v>
      </c>
      <c r="C157" s="5" t="s">
        <v>501</v>
      </c>
      <c r="D157" s="5" t="s">
        <v>498</v>
      </c>
      <c r="E157" s="5" t="s">
        <v>36</v>
      </c>
    </row>
    <row r="158" spans="1:5" ht="52.8" x14ac:dyDescent="0.3">
      <c r="A158" s="5" t="s">
        <v>502</v>
      </c>
      <c r="B158" s="5" t="s">
        <v>503</v>
      </c>
      <c r="C158" s="5" t="s">
        <v>504</v>
      </c>
      <c r="D158" s="5" t="s">
        <v>498</v>
      </c>
      <c r="E158" s="5" t="s">
        <v>36</v>
      </c>
    </row>
    <row r="159" spans="1:5" ht="52.8" x14ac:dyDescent="0.3">
      <c r="A159" s="5" t="s">
        <v>505</v>
      </c>
      <c r="B159" s="5" t="s">
        <v>506</v>
      </c>
      <c r="C159" s="5" t="s">
        <v>507</v>
      </c>
      <c r="D159" s="5" t="s">
        <v>498</v>
      </c>
      <c r="E159" s="5" t="s">
        <v>36</v>
      </c>
    </row>
    <row r="160" spans="1:5" ht="66" x14ac:dyDescent="0.3">
      <c r="A160" s="5" t="s">
        <v>37</v>
      </c>
      <c r="B160" s="5" t="s">
        <v>508</v>
      </c>
      <c r="C160" s="5" t="s">
        <v>39</v>
      </c>
      <c r="D160" s="5" t="s">
        <v>498</v>
      </c>
      <c r="E160" s="5" t="s">
        <v>36</v>
      </c>
    </row>
    <row r="161" spans="1:5" ht="39.6" x14ac:dyDescent="0.3">
      <c r="A161" s="5" t="s">
        <v>509</v>
      </c>
      <c r="B161" s="5" t="s">
        <v>510</v>
      </c>
      <c r="C161" s="5" t="s">
        <v>511</v>
      </c>
      <c r="D161" s="5" t="s">
        <v>498</v>
      </c>
      <c r="E161" s="5" t="s">
        <v>36</v>
      </c>
    </row>
    <row r="162" spans="1:5" ht="52.8" x14ac:dyDescent="0.3">
      <c r="A162" s="5" t="s">
        <v>512</v>
      </c>
      <c r="B162" s="5" t="s">
        <v>513</v>
      </c>
      <c r="C162" s="5" t="s">
        <v>514</v>
      </c>
      <c r="D162" s="5" t="s">
        <v>498</v>
      </c>
      <c r="E162" s="5" t="s">
        <v>36</v>
      </c>
    </row>
    <row r="163" spans="1:5" ht="52.8" x14ac:dyDescent="0.3">
      <c r="A163" s="5" t="s">
        <v>58</v>
      </c>
      <c r="B163" s="5" t="s">
        <v>515</v>
      </c>
      <c r="C163" s="5" t="s">
        <v>516</v>
      </c>
      <c r="D163" s="5" t="s">
        <v>498</v>
      </c>
      <c r="E163" s="5" t="s">
        <v>36</v>
      </c>
    </row>
    <row r="164" spans="1:5" ht="52.8" x14ac:dyDescent="0.3">
      <c r="A164" s="6" t="s">
        <v>517</v>
      </c>
      <c r="B164" s="6" t="s">
        <v>518</v>
      </c>
      <c r="C164" s="6" t="s">
        <v>519</v>
      </c>
      <c r="D164" s="6" t="s">
        <v>498</v>
      </c>
      <c r="E164" s="6" t="s">
        <v>67</v>
      </c>
    </row>
    <row r="165" spans="1:5" ht="52.8" x14ac:dyDescent="0.3">
      <c r="A165" s="6" t="s">
        <v>520</v>
      </c>
      <c r="B165" s="6" t="s">
        <v>521</v>
      </c>
      <c r="C165" s="6" t="s">
        <v>522</v>
      </c>
      <c r="D165" s="6" t="s">
        <v>498</v>
      </c>
      <c r="E165" s="6" t="s">
        <v>67</v>
      </c>
    </row>
    <row r="166" spans="1:5" ht="52.8" x14ac:dyDescent="0.3">
      <c r="A166" s="6" t="s">
        <v>523</v>
      </c>
      <c r="B166" s="6" t="s">
        <v>524</v>
      </c>
      <c r="C166" s="6" t="s">
        <v>525</v>
      </c>
      <c r="D166" s="6" t="s">
        <v>498</v>
      </c>
      <c r="E166" s="6" t="s">
        <v>67</v>
      </c>
    </row>
    <row r="167" spans="1:5" ht="52.8" x14ac:dyDescent="0.3">
      <c r="A167" s="6" t="s">
        <v>526</v>
      </c>
      <c r="B167" s="6" t="s">
        <v>527</v>
      </c>
      <c r="C167" s="6" t="s">
        <v>528</v>
      </c>
      <c r="D167" s="6" t="s">
        <v>498</v>
      </c>
      <c r="E167" s="6" t="s">
        <v>67</v>
      </c>
    </row>
    <row r="168" spans="1:5" ht="52.8" x14ac:dyDescent="0.3">
      <c r="A168" s="6" t="s">
        <v>529</v>
      </c>
      <c r="B168" s="6" t="s">
        <v>530</v>
      </c>
      <c r="C168" s="6" t="s">
        <v>531</v>
      </c>
      <c r="D168" s="6" t="s">
        <v>498</v>
      </c>
      <c r="E168" s="6" t="s">
        <v>67</v>
      </c>
    </row>
    <row r="169" spans="1:5" ht="52.8" x14ac:dyDescent="0.3">
      <c r="A169" s="6" t="s">
        <v>532</v>
      </c>
      <c r="B169" s="6" t="s">
        <v>533</v>
      </c>
      <c r="C169" s="6" t="s">
        <v>534</v>
      </c>
      <c r="D169" s="6" t="s">
        <v>498</v>
      </c>
      <c r="E169" s="6" t="s">
        <v>67</v>
      </c>
    </row>
    <row r="170" spans="1:5" ht="52.8" x14ac:dyDescent="0.3">
      <c r="A170" s="6" t="s">
        <v>535</v>
      </c>
      <c r="B170" s="6" t="s">
        <v>536</v>
      </c>
      <c r="C170" s="6" t="s">
        <v>537</v>
      </c>
      <c r="D170" s="6" t="s">
        <v>498</v>
      </c>
      <c r="E170" s="6" t="s">
        <v>67</v>
      </c>
    </row>
    <row r="171" spans="1:5" ht="52.8" x14ac:dyDescent="0.3">
      <c r="A171" s="6" t="s">
        <v>538</v>
      </c>
      <c r="B171" s="6" t="s">
        <v>539</v>
      </c>
      <c r="C171" s="6" t="s">
        <v>540</v>
      </c>
      <c r="D171" s="6" t="s">
        <v>498</v>
      </c>
      <c r="E171" s="6" t="s">
        <v>67</v>
      </c>
    </row>
    <row r="172" spans="1:5" ht="52.8" x14ac:dyDescent="0.3">
      <c r="A172" s="6" t="s">
        <v>541</v>
      </c>
      <c r="B172" s="6" t="s">
        <v>542</v>
      </c>
      <c r="C172" s="6" t="s">
        <v>543</v>
      </c>
      <c r="D172" s="6" t="s">
        <v>498</v>
      </c>
      <c r="E172" s="6" t="s">
        <v>67</v>
      </c>
    </row>
    <row r="173" spans="1:5" ht="52.8" x14ac:dyDescent="0.3">
      <c r="A173" s="6" t="s">
        <v>98</v>
      </c>
      <c r="B173" s="6" t="s">
        <v>544</v>
      </c>
      <c r="C173" s="6" t="s">
        <v>545</v>
      </c>
      <c r="D173" s="6" t="s">
        <v>498</v>
      </c>
      <c r="E173" s="6" t="s">
        <v>67</v>
      </c>
    </row>
    <row r="174" spans="1:5" ht="52.8" x14ac:dyDescent="0.3">
      <c r="A174" s="6" t="s">
        <v>546</v>
      </c>
      <c r="B174" s="6" t="s">
        <v>547</v>
      </c>
      <c r="C174" s="6" t="s">
        <v>548</v>
      </c>
      <c r="D174" s="6" t="s">
        <v>498</v>
      </c>
      <c r="E174" s="6" t="s">
        <v>67</v>
      </c>
    </row>
    <row r="175" spans="1:5" ht="52.8" x14ac:dyDescent="0.3">
      <c r="A175" s="6" t="s">
        <v>549</v>
      </c>
      <c r="B175" s="6" t="s">
        <v>550</v>
      </c>
      <c r="C175" s="6" t="s">
        <v>551</v>
      </c>
      <c r="D175" s="6" t="s">
        <v>498</v>
      </c>
      <c r="E175" s="6" t="s">
        <v>67</v>
      </c>
    </row>
    <row r="176" spans="1:5" ht="52.8" x14ac:dyDescent="0.3">
      <c r="A176" s="6" t="s">
        <v>552</v>
      </c>
      <c r="B176" s="6" t="s">
        <v>553</v>
      </c>
      <c r="C176" s="6" t="s">
        <v>554</v>
      </c>
      <c r="D176" s="6" t="s">
        <v>498</v>
      </c>
      <c r="E176" s="6" t="s">
        <v>67</v>
      </c>
    </row>
    <row r="177" spans="1:5" ht="52.8" x14ac:dyDescent="0.3">
      <c r="A177" s="6" t="s">
        <v>555</v>
      </c>
      <c r="B177" s="6" t="s">
        <v>556</v>
      </c>
      <c r="C177" s="6" t="s">
        <v>557</v>
      </c>
      <c r="D177" s="6" t="s">
        <v>498</v>
      </c>
      <c r="E177" s="6" t="s">
        <v>67</v>
      </c>
    </row>
    <row r="178" spans="1:5" ht="52.8" x14ac:dyDescent="0.3">
      <c r="A178" s="6" t="s">
        <v>558</v>
      </c>
      <c r="B178" s="6" t="s">
        <v>559</v>
      </c>
      <c r="C178" s="6" t="s">
        <v>560</v>
      </c>
      <c r="D178" s="6" t="s">
        <v>498</v>
      </c>
      <c r="E178" s="6" t="s">
        <v>67</v>
      </c>
    </row>
    <row r="179" spans="1:5" ht="52.8" x14ac:dyDescent="0.3">
      <c r="A179" s="6" t="s">
        <v>80</v>
      </c>
      <c r="B179" s="6" t="s">
        <v>561</v>
      </c>
      <c r="C179" s="6" t="s">
        <v>82</v>
      </c>
      <c r="D179" s="6" t="s">
        <v>498</v>
      </c>
      <c r="E179" s="6" t="s">
        <v>67</v>
      </c>
    </row>
    <row r="180" spans="1:5" ht="52.8" x14ac:dyDescent="0.3">
      <c r="A180" s="6" t="s">
        <v>562</v>
      </c>
      <c r="B180" s="6" t="s">
        <v>563</v>
      </c>
      <c r="C180" s="6" t="s">
        <v>564</v>
      </c>
      <c r="D180" s="6" t="s">
        <v>498</v>
      </c>
      <c r="E180" s="6" t="s">
        <v>67</v>
      </c>
    </row>
    <row r="181" spans="1:5" ht="52.8" x14ac:dyDescent="0.3">
      <c r="A181" s="6" t="s">
        <v>565</v>
      </c>
      <c r="B181" s="6" t="s">
        <v>566</v>
      </c>
      <c r="C181" s="6" t="s">
        <v>567</v>
      </c>
      <c r="D181" s="6" t="s">
        <v>498</v>
      </c>
      <c r="E181" s="6" t="s">
        <v>67</v>
      </c>
    </row>
    <row r="182" spans="1:5" ht="52.8" x14ac:dyDescent="0.3">
      <c r="A182" s="6" t="s">
        <v>568</v>
      </c>
      <c r="B182" s="6" t="s">
        <v>569</v>
      </c>
      <c r="C182" s="6" t="s">
        <v>570</v>
      </c>
      <c r="D182" s="6" t="s">
        <v>498</v>
      </c>
      <c r="E182" s="6" t="s">
        <v>67</v>
      </c>
    </row>
    <row r="183" spans="1:5" ht="52.8" x14ac:dyDescent="0.3">
      <c r="A183" s="6" t="s">
        <v>571</v>
      </c>
      <c r="B183" s="6" t="s">
        <v>572</v>
      </c>
      <c r="C183" s="6" t="s">
        <v>573</v>
      </c>
      <c r="D183" s="6" t="s">
        <v>498</v>
      </c>
      <c r="E183" s="6" t="s">
        <v>67</v>
      </c>
    </row>
    <row r="184" spans="1:5" ht="52.8" x14ac:dyDescent="0.3">
      <c r="A184" s="7" t="s">
        <v>196</v>
      </c>
      <c r="B184" s="7" t="s">
        <v>574</v>
      </c>
      <c r="C184" s="7" t="s">
        <v>575</v>
      </c>
      <c r="D184" s="7" t="s">
        <v>498</v>
      </c>
      <c r="E184" s="7" t="s">
        <v>113</v>
      </c>
    </row>
    <row r="185" spans="1:5" ht="52.8" x14ac:dyDescent="0.3">
      <c r="A185" s="7" t="s">
        <v>199</v>
      </c>
      <c r="B185" s="7" t="s">
        <v>576</v>
      </c>
      <c r="C185" s="7" t="s">
        <v>577</v>
      </c>
      <c r="D185" s="7" t="s">
        <v>498</v>
      </c>
      <c r="E185" s="7" t="s">
        <v>113</v>
      </c>
    </row>
    <row r="186" spans="1:5" ht="52.8" x14ac:dyDescent="0.3">
      <c r="A186" s="7" t="s">
        <v>202</v>
      </c>
      <c r="B186" s="7" t="s">
        <v>578</v>
      </c>
      <c r="C186" s="7" t="s">
        <v>579</v>
      </c>
      <c r="D186" s="7" t="s">
        <v>498</v>
      </c>
      <c r="E186" s="7" t="s">
        <v>113</v>
      </c>
    </row>
    <row r="187" spans="1:5" ht="52.8" x14ac:dyDescent="0.3">
      <c r="A187" s="7" t="s">
        <v>580</v>
      </c>
      <c r="B187" s="7" t="s">
        <v>581</v>
      </c>
      <c r="C187" s="7" t="s">
        <v>582</v>
      </c>
      <c r="D187" s="7" t="s">
        <v>498</v>
      </c>
      <c r="E187" s="7" t="s">
        <v>113</v>
      </c>
    </row>
    <row r="188" spans="1:5" ht="52.8" x14ac:dyDescent="0.3">
      <c r="A188" s="7" t="s">
        <v>205</v>
      </c>
      <c r="B188" s="7" t="s">
        <v>206</v>
      </c>
      <c r="C188" s="7" t="s">
        <v>583</v>
      </c>
      <c r="D188" s="7" t="s">
        <v>498</v>
      </c>
      <c r="E188" s="7" t="s">
        <v>113</v>
      </c>
    </row>
    <row r="189" spans="1:5" ht="52.8" x14ac:dyDescent="0.3">
      <c r="A189" s="7" t="s">
        <v>584</v>
      </c>
      <c r="B189" s="7" t="s">
        <v>585</v>
      </c>
      <c r="C189" s="7" t="s">
        <v>586</v>
      </c>
      <c r="D189" s="7" t="s">
        <v>498</v>
      </c>
      <c r="E189" s="7" t="s">
        <v>113</v>
      </c>
    </row>
    <row r="190" spans="1:5" ht="52.8" x14ac:dyDescent="0.3">
      <c r="A190" s="7" t="s">
        <v>587</v>
      </c>
      <c r="B190" s="7" t="s">
        <v>588</v>
      </c>
      <c r="C190" s="7" t="s">
        <v>589</v>
      </c>
      <c r="D190" s="7" t="s">
        <v>498</v>
      </c>
      <c r="E190" s="7" t="s">
        <v>113</v>
      </c>
    </row>
    <row r="191" spans="1:5" ht="52.8" x14ac:dyDescent="0.3">
      <c r="A191" s="7" t="s">
        <v>590</v>
      </c>
      <c r="B191" s="7" t="s">
        <v>591</v>
      </c>
      <c r="C191" s="7" t="s">
        <v>592</v>
      </c>
      <c r="D191" s="7" t="s">
        <v>498</v>
      </c>
      <c r="E191" s="7" t="s">
        <v>113</v>
      </c>
    </row>
    <row r="192" spans="1:5" ht="52.8" x14ac:dyDescent="0.3">
      <c r="A192" s="7" t="s">
        <v>593</v>
      </c>
      <c r="B192" s="7" t="s">
        <v>594</v>
      </c>
      <c r="C192" s="7" t="s">
        <v>595</v>
      </c>
      <c r="D192" s="7" t="s">
        <v>498</v>
      </c>
      <c r="E192" s="7" t="s">
        <v>113</v>
      </c>
    </row>
    <row r="193" spans="1:5" ht="52.8" x14ac:dyDescent="0.3">
      <c r="A193" s="7" t="s">
        <v>596</v>
      </c>
      <c r="B193" s="7" t="s">
        <v>597</v>
      </c>
      <c r="C193" s="7" t="s">
        <v>598</v>
      </c>
      <c r="D193" s="7" t="s">
        <v>498</v>
      </c>
      <c r="E193" s="7" t="s">
        <v>113</v>
      </c>
    </row>
    <row r="194" spans="1:5" ht="52.8" x14ac:dyDescent="0.3">
      <c r="A194" s="7" t="s">
        <v>316</v>
      </c>
      <c r="B194" s="7" t="s">
        <v>599</v>
      </c>
      <c r="C194" s="7" t="s">
        <v>600</v>
      </c>
      <c r="D194" s="7" t="s">
        <v>498</v>
      </c>
      <c r="E194" s="7" t="s">
        <v>113</v>
      </c>
    </row>
    <row r="195" spans="1:5" ht="52.8" x14ac:dyDescent="0.3">
      <c r="A195" s="5" t="s">
        <v>601</v>
      </c>
      <c r="B195" s="5" t="s">
        <v>602</v>
      </c>
      <c r="C195" s="5" t="s">
        <v>603</v>
      </c>
      <c r="D195" s="5" t="s">
        <v>601</v>
      </c>
      <c r="E195" s="5" t="s">
        <v>36</v>
      </c>
    </row>
    <row r="196" spans="1:5" ht="52.8" x14ac:dyDescent="0.3">
      <c r="A196" s="5" t="s">
        <v>604</v>
      </c>
      <c r="B196" s="5" t="s">
        <v>605</v>
      </c>
      <c r="C196" s="5" t="s">
        <v>606</v>
      </c>
      <c r="D196" s="5" t="s">
        <v>601</v>
      </c>
      <c r="E196" s="5" t="s">
        <v>36</v>
      </c>
    </row>
    <row r="197" spans="1:5" ht="52.8" x14ac:dyDescent="0.3">
      <c r="A197" s="5" t="s">
        <v>607</v>
      </c>
      <c r="B197" s="5" t="s">
        <v>608</v>
      </c>
      <c r="C197" s="5" t="s">
        <v>609</v>
      </c>
      <c r="D197" s="5" t="s">
        <v>601</v>
      </c>
      <c r="E197" s="5" t="s">
        <v>36</v>
      </c>
    </row>
    <row r="198" spans="1:5" ht="52.8" x14ac:dyDescent="0.3">
      <c r="A198" s="5" t="s">
        <v>610</v>
      </c>
      <c r="B198" s="5" t="s">
        <v>611</v>
      </c>
      <c r="C198" s="5" t="s">
        <v>612</v>
      </c>
      <c r="D198" s="5" t="s">
        <v>601</v>
      </c>
      <c r="E198" s="5" t="s">
        <v>36</v>
      </c>
    </row>
    <row r="199" spans="1:5" ht="52.8" x14ac:dyDescent="0.3">
      <c r="A199" s="5" t="s">
        <v>613</v>
      </c>
      <c r="B199" s="5" t="s">
        <v>614</v>
      </c>
      <c r="C199" s="5" t="s">
        <v>615</v>
      </c>
      <c r="D199" s="5" t="s">
        <v>601</v>
      </c>
      <c r="E199" s="5" t="s">
        <v>36</v>
      </c>
    </row>
    <row r="200" spans="1:5" ht="52.8" x14ac:dyDescent="0.3">
      <c r="A200" s="5" t="s">
        <v>616</v>
      </c>
      <c r="B200" s="5" t="s">
        <v>617</v>
      </c>
      <c r="C200" s="5" t="s">
        <v>618</v>
      </c>
      <c r="D200" s="5" t="s">
        <v>601</v>
      </c>
      <c r="E200" s="5" t="s">
        <v>36</v>
      </c>
    </row>
    <row r="201" spans="1:5" ht="52.8" x14ac:dyDescent="0.3">
      <c r="A201" s="6" t="s">
        <v>619</v>
      </c>
      <c r="B201" s="6" t="s">
        <v>620</v>
      </c>
      <c r="C201" s="6" t="s">
        <v>621</v>
      </c>
      <c r="D201" s="6" t="s">
        <v>601</v>
      </c>
      <c r="E201" s="6" t="s">
        <v>67</v>
      </c>
    </row>
    <row r="202" spans="1:5" ht="52.8" x14ac:dyDescent="0.3">
      <c r="A202" s="6" t="s">
        <v>74</v>
      </c>
      <c r="B202" s="6" t="s">
        <v>622</v>
      </c>
      <c r="C202" s="6" t="s">
        <v>76</v>
      </c>
      <c r="D202" s="6" t="s">
        <v>601</v>
      </c>
      <c r="E202" s="6" t="s">
        <v>67</v>
      </c>
    </row>
    <row r="203" spans="1:5" ht="39.6" x14ac:dyDescent="0.3">
      <c r="A203" s="6" t="s">
        <v>77</v>
      </c>
      <c r="B203" s="6" t="s">
        <v>623</v>
      </c>
      <c r="C203" s="6" t="s">
        <v>79</v>
      </c>
      <c r="D203" s="6" t="s">
        <v>601</v>
      </c>
      <c r="E203" s="6" t="s">
        <v>67</v>
      </c>
    </row>
    <row r="204" spans="1:5" ht="52.8" x14ac:dyDescent="0.3">
      <c r="A204" s="6" t="s">
        <v>624</v>
      </c>
      <c r="B204" s="6" t="s">
        <v>625</v>
      </c>
      <c r="C204" s="6" t="s">
        <v>626</v>
      </c>
      <c r="D204" s="6" t="s">
        <v>601</v>
      </c>
      <c r="E204" s="6" t="s">
        <v>67</v>
      </c>
    </row>
    <row r="205" spans="1:5" ht="52.8" x14ac:dyDescent="0.3">
      <c r="A205" s="6" t="s">
        <v>627</v>
      </c>
      <c r="B205" s="6" t="s">
        <v>628</v>
      </c>
      <c r="C205" s="6" t="s">
        <v>629</v>
      </c>
      <c r="D205" s="6" t="s">
        <v>601</v>
      </c>
      <c r="E205" s="6" t="s">
        <v>67</v>
      </c>
    </row>
    <row r="206" spans="1:5" ht="52.8" x14ac:dyDescent="0.3">
      <c r="A206" s="6" t="s">
        <v>630</v>
      </c>
      <c r="B206" s="6" t="s">
        <v>631</v>
      </c>
      <c r="C206" s="6" t="s">
        <v>632</v>
      </c>
      <c r="D206" s="6" t="s">
        <v>601</v>
      </c>
      <c r="E206" s="6" t="s">
        <v>67</v>
      </c>
    </row>
    <row r="207" spans="1:5" ht="52.8" x14ac:dyDescent="0.3">
      <c r="A207" s="6" t="s">
        <v>633</v>
      </c>
      <c r="B207" s="6" t="s">
        <v>634</v>
      </c>
      <c r="C207" s="6" t="s">
        <v>635</v>
      </c>
      <c r="D207" s="6" t="s">
        <v>601</v>
      </c>
      <c r="E207" s="6" t="s">
        <v>67</v>
      </c>
    </row>
    <row r="208" spans="1:5" ht="52.8" x14ac:dyDescent="0.3">
      <c r="A208" s="6" t="s">
        <v>636</v>
      </c>
      <c r="B208" s="6" t="s">
        <v>637</v>
      </c>
      <c r="C208" s="6" t="s">
        <v>638</v>
      </c>
      <c r="D208" s="6" t="s">
        <v>601</v>
      </c>
      <c r="E208" s="6" t="s">
        <v>67</v>
      </c>
    </row>
    <row r="209" spans="1:5" ht="52.8" x14ac:dyDescent="0.3">
      <c r="A209" s="6" t="s">
        <v>639</v>
      </c>
      <c r="B209" s="6" t="s">
        <v>640</v>
      </c>
      <c r="C209" s="6" t="s">
        <v>641</v>
      </c>
      <c r="D209" s="6" t="s">
        <v>601</v>
      </c>
      <c r="E209" s="6" t="s">
        <v>67</v>
      </c>
    </row>
    <row r="210" spans="1:5" ht="52.8" x14ac:dyDescent="0.3">
      <c r="A210" s="6" t="s">
        <v>642</v>
      </c>
      <c r="B210" s="6" t="s">
        <v>643</v>
      </c>
      <c r="C210" s="6" t="s">
        <v>644</v>
      </c>
      <c r="D210" s="6" t="s">
        <v>601</v>
      </c>
      <c r="E210" s="6" t="s">
        <v>67</v>
      </c>
    </row>
    <row r="211" spans="1:5" ht="52.8" x14ac:dyDescent="0.3">
      <c r="A211" s="6" t="s">
        <v>645</v>
      </c>
      <c r="B211" s="6" t="s">
        <v>646</v>
      </c>
      <c r="C211" s="6" t="s">
        <v>647</v>
      </c>
      <c r="D211" s="6" t="s">
        <v>601</v>
      </c>
      <c r="E211" s="6" t="s">
        <v>67</v>
      </c>
    </row>
    <row r="212" spans="1:5" ht="52.8" x14ac:dyDescent="0.3">
      <c r="A212" s="7" t="s">
        <v>117</v>
      </c>
      <c r="B212" s="7" t="s">
        <v>118</v>
      </c>
      <c r="C212" s="7" t="s">
        <v>648</v>
      </c>
      <c r="D212" s="7" t="s">
        <v>601</v>
      </c>
      <c r="E212" s="7" t="s">
        <v>113</v>
      </c>
    </row>
    <row r="213" spans="1:5" ht="52.8" x14ac:dyDescent="0.3">
      <c r="A213" s="7" t="s">
        <v>649</v>
      </c>
      <c r="B213" s="7" t="s">
        <v>650</v>
      </c>
      <c r="C213" s="7" t="s">
        <v>651</v>
      </c>
      <c r="D213" s="7" t="s">
        <v>601</v>
      </c>
      <c r="E213" s="7" t="s">
        <v>113</v>
      </c>
    </row>
    <row r="214" spans="1:5" ht="52.8" x14ac:dyDescent="0.3">
      <c r="A214" s="7" t="s">
        <v>652</v>
      </c>
      <c r="B214" s="7" t="s">
        <v>653</v>
      </c>
      <c r="C214" s="7" t="s">
        <v>654</v>
      </c>
      <c r="D214" s="7" t="s">
        <v>601</v>
      </c>
      <c r="E214" s="7" t="s">
        <v>113</v>
      </c>
    </row>
    <row r="215" spans="1:5" ht="52.8" x14ac:dyDescent="0.3">
      <c r="A215" s="7" t="s">
        <v>655</v>
      </c>
      <c r="B215" s="7" t="s">
        <v>656</v>
      </c>
      <c r="C215" s="7" t="s">
        <v>657</v>
      </c>
      <c r="D215" s="7" t="s">
        <v>601</v>
      </c>
      <c r="E215" s="7" t="s">
        <v>113</v>
      </c>
    </row>
    <row r="216" spans="1:5" ht="52.8" x14ac:dyDescent="0.3">
      <c r="A216" s="5" t="s">
        <v>658</v>
      </c>
      <c r="B216" s="5" t="s">
        <v>659</v>
      </c>
      <c r="C216" s="5" t="s">
        <v>660</v>
      </c>
      <c r="D216" s="5" t="s">
        <v>661</v>
      </c>
      <c r="E216" s="5" t="s">
        <v>36</v>
      </c>
    </row>
    <row r="217" spans="1:5" ht="52.8" x14ac:dyDescent="0.3">
      <c r="A217" s="5" t="s">
        <v>662</v>
      </c>
      <c r="B217" s="5" t="s">
        <v>663</v>
      </c>
      <c r="C217" s="5" t="s">
        <v>664</v>
      </c>
      <c r="D217" s="5" t="s">
        <v>661</v>
      </c>
      <c r="E217" s="5" t="s">
        <v>36</v>
      </c>
    </row>
    <row r="218" spans="1:5" ht="52.8" x14ac:dyDescent="0.3">
      <c r="A218" s="5" t="s">
        <v>665</v>
      </c>
      <c r="B218" s="5" t="s">
        <v>666</v>
      </c>
      <c r="C218" s="5" t="s">
        <v>667</v>
      </c>
      <c r="D218" s="5" t="s">
        <v>661</v>
      </c>
      <c r="E218" s="5" t="s">
        <v>36</v>
      </c>
    </row>
    <row r="219" spans="1:5" ht="52.8" x14ac:dyDescent="0.3">
      <c r="A219" s="6" t="s">
        <v>668</v>
      </c>
      <c r="B219" s="6" t="s">
        <v>669</v>
      </c>
      <c r="C219" s="6" t="s">
        <v>670</v>
      </c>
      <c r="D219" s="6" t="s">
        <v>661</v>
      </c>
      <c r="E219" s="6" t="s">
        <v>67</v>
      </c>
    </row>
    <row r="220" spans="1:5" ht="52.8" x14ac:dyDescent="0.3">
      <c r="A220" s="6" t="s">
        <v>671</v>
      </c>
      <c r="B220" s="6" t="s">
        <v>672</v>
      </c>
      <c r="C220" s="6" t="s">
        <v>673</v>
      </c>
      <c r="D220" s="6" t="s">
        <v>661</v>
      </c>
      <c r="E220" s="6" t="s">
        <v>67</v>
      </c>
    </row>
    <row r="221" spans="1:5" ht="52.8" x14ac:dyDescent="0.3">
      <c r="A221" s="6" t="s">
        <v>674</v>
      </c>
      <c r="B221" s="6" t="s">
        <v>675</v>
      </c>
      <c r="C221" s="6" t="s">
        <v>676</v>
      </c>
      <c r="D221" s="6" t="s">
        <v>661</v>
      </c>
      <c r="E221" s="6" t="s">
        <v>67</v>
      </c>
    </row>
    <row r="222" spans="1:5" ht="52.8" x14ac:dyDescent="0.3">
      <c r="A222" s="6" t="s">
        <v>677</v>
      </c>
      <c r="B222" s="6" t="s">
        <v>678</v>
      </c>
      <c r="C222" s="6" t="s">
        <v>679</v>
      </c>
      <c r="D222" s="6" t="s">
        <v>661</v>
      </c>
      <c r="E222" s="6" t="s">
        <v>67</v>
      </c>
    </row>
    <row r="223" spans="1:5" ht="52.8" x14ac:dyDescent="0.3">
      <c r="A223" s="6" t="s">
        <v>680</v>
      </c>
      <c r="B223" s="6" t="s">
        <v>681</v>
      </c>
      <c r="C223" s="6" t="s">
        <v>682</v>
      </c>
      <c r="D223" s="6" t="s">
        <v>661</v>
      </c>
      <c r="E223" s="6" t="s">
        <v>67</v>
      </c>
    </row>
    <row r="224" spans="1:5" ht="52.8" x14ac:dyDescent="0.3">
      <c r="A224" s="6" t="s">
        <v>683</v>
      </c>
      <c r="B224" s="6" t="s">
        <v>684</v>
      </c>
      <c r="C224" s="6" t="s">
        <v>685</v>
      </c>
      <c r="D224" s="6" t="s">
        <v>661</v>
      </c>
      <c r="E224" s="6" t="s">
        <v>67</v>
      </c>
    </row>
    <row r="225" spans="1:5" ht="52.8" x14ac:dyDescent="0.3">
      <c r="A225" s="6" t="s">
        <v>686</v>
      </c>
      <c r="B225" s="6" t="s">
        <v>687</v>
      </c>
      <c r="C225" s="6" t="s">
        <v>688</v>
      </c>
      <c r="D225" s="6" t="s">
        <v>661</v>
      </c>
      <c r="E225" s="6" t="s">
        <v>67</v>
      </c>
    </row>
    <row r="226" spans="1:5" ht="52.8" x14ac:dyDescent="0.3">
      <c r="A226" s="6" t="s">
        <v>689</v>
      </c>
      <c r="B226" s="6" t="s">
        <v>690</v>
      </c>
      <c r="C226" s="6" t="s">
        <v>691</v>
      </c>
      <c r="D226" s="6" t="s">
        <v>661</v>
      </c>
      <c r="E226" s="6" t="s">
        <v>67</v>
      </c>
    </row>
    <row r="227" spans="1:5" ht="52.8" x14ac:dyDescent="0.3">
      <c r="A227" s="6" t="s">
        <v>692</v>
      </c>
      <c r="B227" s="6" t="s">
        <v>693</v>
      </c>
      <c r="C227" s="6" t="s">
        <v>694</v>
      </c>
      <c r="D227" s="6" t="s">
        <v>661</v>
      </c>
      <c r="E227" s="6" t="s">
        <v>67</v>
      </c>
    </row>
    <row r="228" spans="1:5" ht="52.8" x14ac:dyDescent="0.3">
      <c r="A228" s="7" t="s">
        <v>695</v>
      </c>
      <c r="B228" s="7" t="s">
        <v>696</v>
      </c>
      <c r="C228" s="7" t="s">
        <v>697</v>
      </c>
      <c r="D228" s="7" t="s">
        <v>661</v>
      </c>
      <c r="E228" s="7" t="s">
        <v>113</v>
      </c>
    </row>
    <row r="229" spans="1:5" ht="52.8" x14ac:dyDescent="0.3">
      <c r="A229" s="7" t="s">
        <v>263</v>
      </c>
      <c r="B229" s="7" t="s">
        <v>698</v>
      </c>
      <c r="C229" s="7" t="s">
        <v>699</v>
      </c>
      <c r="D229" s="7" t="s">
        <v>661</v>
      </c>
      <c r="E229" s="7" t="s">
        <v>113</v>
      </c>
    </row>
    <row r="230" spans="1:5" ht="52.8" x14ac:dyDescent="0.3">
      <c r="A230" s="7" t="s">
        <v>700</v>
      </c>
      <c r="B230" s="7" t="s">
        <v>701</v>
      </c>
      <c r="C230" s="7" t="s">
        <v>702</v>
      </c>
      <c r="D230" s="7" t="s">
        <v>661</v>
      </c>
      <c r="E230" s="7" t="s">
        <v>113</v>
      </c>
    </row>
    <row r="231" spans="1:5" ht="52.8" x14ac:dyDescent="0.3">
      <c r="A231" s="7" t="s">
        <v>703</v>
      </c>
      <c r="B231" s="7" t="s">
        <v>704</v>
      </c>
      <c r="C231" s="7" t="s">
        <v>705</v>
      </c>
      <c r="D231" s="7" t="s">
        <v>661</v>
      </c>
      <c r="E231" s="7" t="s">
        <v>113</v>
      </c>
    </row>
    <row r="232" spans="1:5" ht="52.8" x14ac:dyDescent="0.3">
      <c r="A232" s="7" t="s">
        <v>706</v>
      </c>
      <c r="B232" s="7" t="s">
        <v>707</v>
      </c>
      <c r="C232" s="7" t="s">
        <v>708</v>
      </c>
      <c r="D232" s="7" t="s">
        <v>661</v>
      </c>
      <c r="E232" s="7" t="s">
        <v>113</v>
      </c>
    </row>
    <row r="233" spans="1:5" ht="52.8" x14ac:dyDescent="0.3">
      <c r="A233" s="5" t="s">
        <v>178</v>
      </c>
      <c r="B233" s="5" t="s">
        <v>709</v>
      </c>
      <c r="C233" s="5" t="s">
        <v>710</v>
      </c>
      <c r="D233" s="5" t="s">
        <v>711</v>
      </c>
      <c r="E233" s="5" t="s">
        <v>36</v>
      </c>
    </row>
    <row r="234" spans="1:5" ht="52.8" x14ac:dyDescent="0.3">
      <c r="A234" s="6" t="s">
        <v>712</v>
      </c>
      <c r="B234" s="6" t="s">
        <v>713</v>
      </c>
      <c r="C234" s="6" t="s">
        <v>714</v>
      </c>
      <c r="D234" s="6" t="s">
        <v>711</v>
      </c>
      <c r="E234" s="6" t="s">
        <v>67</v>
      </c>
    </row>
    <row r="235" spans="1:5" ht="52.8" x14ac:dyDescent="0.3">
      <c r="A235" s="6" t="s">
        <v>715</v>
      </c>
      <c r="B235" s="6" t="s">
        <v>716</v>
      </c>
      <c r="C235" s="6" t="s">
        <v>717</v>
      </c>
      <c r="D235" s="6" t="s">
        <v>711</v>
      </c>
      <c r="E235" s="6" t="s">
        <v>67</v>
      </c>
    </row>
    <row r="236" spans="1:5" ht="52.8" x14ac:dyDescent="0.3">
      <c r="A236" s="6" t="s">
        <v>718</v>
      </c>
      <c r="B236" s="6" t="s">
        <v>719</v>
      </c>
      <c r="C236" s="6" t="s">
        <v>720</v>
      </c>
      <c r="D236" s="6" t="s">
        <v>711</v>
      </c>
      <c r="E236" s="6" t="s">
        <v>67</v>
      </c>
    </row>
    <row r="237" spans="1:5" ht="52.8" x14ac:dyDescent="0.3">
      <c r="A237" s="6" t="s">
        <v>721</v>
      </c>
      <c r="B237" s="6" t="s">
        <v>722</v>
      </c>
      <c r="C237" s="6" t="s">
        <v>723</v>
      </c>
      <c r="D237" s="6" t="s">
        <v>711</v>
      </c>
      <c r="E237" s="6" t="s">
        <v>67</v>
      </c>
    </row>
    <row r="238" spans="1:5" ht="52.8" x14ac:dyDescent="0.3">
      <c r="A238" s="6" t="s">
        <v>724</v>
      </c>
      <c r="B238" s="6" t="s">
        <v>725</v>
      </c>
      <c r="C238" s="6" t="s">
        <v>726</v>
      </c>
      <c r="D238" s="6" t="s">
        <v>711</v>
      </c>
      <c r="E238" s="6" t="s">
        <v>67</v>
      </c>
    </row>
    <row r="239" spans="1:5" ht="52.8" x14ac:dyDescent="0.3">
      <c r="A239" s="6" t="s">
        <v>727</v>
      </c>
      <c r="B239" s="6" t="s">
        <v>728</v>
      </c>
      <c r="C239" s="6" t="s">
        <v>729</v>
      </c>
      <c r="D239" s="6" t="s">
        <v>711</v>
      </c>
      <c r="E239" s="6" t="s">
        <v>67</v>
      </c>
    </row>
    <row r="240" spans="1:5" ht="52.8" x14ac:dyDescent="0.3">
      <c r="A240" s="6" t="s">
        <v>730</v>
      </c>
      <c r="B240" s="6" t="s">
        <v>731</v>
      </c>
      <c r="C240" s="6" t="s">
        <v>732</v>
      </c>
      <c r="D240" s="6" t="s">
        <v>711</v>
      </c>
      <c r="E240" s="6" t="s">
        <v>67</v>
      </c>
    </row>
    <row r="241" spans="1:5" ht="52.8" x14ac:dyDescent="0.3">
      <c r="A241" s="6" t="s">
        <v>733</v>
      </c>
      <c r="B241" s="6" t="s">
        <v>734</v>
      </c>
      <c r="C241" s="6" t="s">
        <v>735</v>
      </c>
      <c r="D241" s="6" t="s">
        <v>711</v>
      </c>
      <c r="E241" s="6" t="s">
        <v>67</v>
      </c>
    </row>
    <row r="242" spans="1:5" ht="52.8" x14ac:dyDescent="0.3">
      <c r="A242" s="6" t="s">
        <v>181</v>
      </c>
      <c r="B242" s="6" t="s">
        <v>736</v>
      </c>
      <c r="C242" s="6" t="s">
        <v>737</v>
      </c>
      <c r="D242" s="6" t="s">
        <v>711</v>
      </c>
      <c r="E242" s="6" t="s">
        <v>67</v>
      </c>
    </row>
    <row r="243" spans="1:5" ht="52.8" x14ac:dyDescent="0.3">
      <c r="A243" s="6" t="s">
        <v>738</v>
      </c>
      <c r="B243" s="6" t="s">
        <v>739</v>
      </c>
      <c r="C243" s="6" t="s">
        <v>740</v>
      </c>
      <c r="D243" s="6" t="s">
        <v>711</v>
      </c>
      <c r="E243" s="6" t="s">
        <v>67</v>
      </c>
    </row>
    <row r="244" spans="1:5" ht="52.8" x14ac:dyDescent="0.3">
      <c r="A244" s="6" t="s">
        <v>741</v>
      </c>
      <c r="B244" s="6" t="s">
        <v>742</v>
      </c>
      <c r="C244" s="6" t="s">
        <v>743</v>
      </c>
      <c r="D244" s="6" t="s">
        <v>711</v>
      </c>
      <c r="E244" s="6" t="s">
        <v>67</v>
      </c>
    </row>
    <row r="245" spans="1:5" ht="52.8" x14ac:dyDescent="0.3">
      <c r="A245" s="6" t="s">
        <v>744</v>
      </c>
      <c r="B245" s="6" t="s">
        <v>745</v>
      </c>
      <c r="C245" s="6" t="s">
        <v>746</v>
      </c>
      <c r="D245" s="6" t="s">
        <v>711</v>
      </c>
      <c r="E245" s="6" t="s">
        <v>67</v>
      </c>
    </row>
    <row r="246" spans="1:5" ht="52.8" x14ac:dyDescent="0.3">
      <c r="A246" s="6" t="s">
        <v>555</v>
      </c>
      <c r="B246" s="6" t="s">
        <v>747</v>
      </c>
      <c r="C246" s="6" t="s">
        <v>748</v>
      </c>
      <c r="D246" s="6" t="s">
        <v>711</v>
      </c>
      <c r="E246" s="6" t="s">
        <v>67</v>
      </c>
    </row>
    <row r="247" spans="1:5" ht="52.8" x14ac:dyDescent="0.3">
      <c r="A247" s="7" t="s">
        <v>749</v>
      </c>
      <c r="B247" s="7" t="s">
        <v>750</v>
      </c>
      <c r="C247" s="7" t="s">
        <v>751</v>
      </c>
      <c r="D247" s="7" t="s">
        <v>711</v>
      </c>
      <c r="E247" s="7" t="s">
        <v>113</v>
      </c>
    </row>
    <row r="248" spans="1:5" ht="52.8" x14ac:dyDescent="0.3">
      <c r="A248" s="7" t="s">
        <v>752</v>
      </c>
      <c r="B248" s="7" t="s">
        <v>753</v>
      </c>
      <c r="C248" s="7" t="s">
        <v>754</v>
      </c>
      <c r="D248" s="7" t="s">
        <v>711</v>
      </c>
      <c r="E248" s="7" t="s">
        <v>113</v>
      </c>
    </row>
    <row r="249" spans="1:5" ht="52.8" x14ac:dyDescent="0.3">
      <c r="A249" s="7" t="s">
        <v>755</v>
      </c>
      <c r="B249" s="7" t="s">
        <v>756</v>
      </c>
      <c r="C249" s="7" t="s">
        <v>757</v>
      </c>
      <c r="D249" s="7" t="s">
        <v>711</v>
      </c>
      <c r="E249" s="7" t="s">
        <v>113</v>
      </c>
    </row>
    <row r="250" spans="1:5" ht="52.8" x14ac:dyDescent="0.3">
      <c r="A250" s="7" t="s">
        <v>758</v>
      </c>
      <c r="B250" s="7" t="s">
        <v>759</v>
      </c>
      <c r="C250" s="7" t="s">
        <v>760</v>
      </c>
      <c r="D250" s="7" t="s">
        <v>711</v>
      </c>
      <c r="E250" s="7" t="s">
        <v>113</v>
      </c>
    </row>
    <row r="251" spans="1:5" ht="52.8" x14ac:dyDescent="0.3">
      <c r="A251" s="7" t="s">
        <v>565</v>
      </c>
      <c r="B251" s="7" t="s">
        <v>761</v>
      </c>
      <c r="C251" s="7" t="s">
        <v>762</v>
      </c>
      <c r="D251" s="7" t="s">
        <v>711</v>
      </c>
      <c r="E251" s="7" t="s">
        <v>113</v>
      </c>
    </row>
    <row r="252" spans="1:5" ht="52.8" x14ac:dyDescent="0.3">
      <c r="A252" s="5" t="s">
        <v>763</v>
      </c>
      <c r="B252" s="5" t="s">
        <v>764</v>
      </c>
      <c r="C252" s="5" t="s">
        <v>765</v>
      </c>
      <c r="D252" s="5" t="s">
        <v>766</v>
      </c>
      <c r="E252" s="5" t="s">
        <v>36</v>
      </c>
    </row>
    <row r="253" spans="1:5" ht="52.8" x14ac:dyDescent="0.3">
      <c r="A253" s="5" t="s">
        <v>767</v>
      </c>
      <c r="B253" s="5" t="s">
        <v>768</v>
      </c>
      <c r="C253" s="5" t="s">
        <v>769</v>
      </c>
      <c r="D253" s="5" t="s">
        <v>766</v>
      </c>
      <c r="E253" s="5" t="s">
        <v>36</v>
      </c>
    </row>
    <row r="254" spans="1:5" ht="52.8" x14ac:dyDescent="0.3">
      <c r="A254" s="5" t="s">
        <v>770</v>
      </c>
      <c r="B254" s="5" t="s">
        <v>771</v>
      </c>
      <c r="C254" s="5" t="s">
        <v>772</v>
      </c>
      <c r="D254" s="5" t="s">
        <v>766</v>
      </c>
      <c r="E254" s="5" t="s">
        <v>36</v>
      </c>
    </row>
    <row r="255" spans="1:5" ht="52.8" x14ac:dyDescent="0.3">
      <c r="A255" s="5" t="s">
        <v>773</v>
      </c>
      <c r="B255" s="5" t="s">
        <v>774</v>
      </c>
      <c r="C255" s="5" t="s">
        <v>775</v>
      </c>
      <c r="D255" s="5" t="s">
        <v>766</v>
      </c>
      <c r="E255" s="5" t="s">
        <v>36</v>
      </c>
    </row>
    <row r="256" spans="1:5" ht="52.8" x14ac:dyDescent="0.3">
      <c r="A256" s="5" t="s">
        <v>776</v>
      </c>
      <c r="B256" s="5" t="s">
        <v>777</v>
      </c>
      <c r="C256" s="5" t="s">
        <v>778</v>
      </c>
      <c r="D256" s="5" t="s">
        <v>766</v>
      </c>
      <c r="E256" s="5" t="s">
        <v>36</v>
      </c>
    </row>
    <row r="257" spans="1:5" ht="52.8" x14ac:dyDescent="0.3">
      <c r="A257" s="5" t="s">
        <v>61</v>
      </c>
      <c r="B257" s="5" t="s">
        <v>779</v>
      </c>
      <c r="C257" s="5" t="s">
        <v>780</v>
      </c>
      <c r="D257" s="5" t="s">
        <v>766</v>
      </c>
      <c r="E257" s="5" t="s">
        <v>36</v>
      </c>
    </row>
    <row r="258" spans="1:5" ht="52.8" x14ac:dyDescent="0.3">
      <c r="A258" s="5" t="s">
        <v>781</v>
      </c>
      <c r="B258" s="5" t="s">
        <v>782</v>
      </c>
      <c r="C258" s="5" t="s">
        <v>783</v>
      </c>
      <c r="D258" s="5" t="s">
        <v>766</v>
      </c>
      <c r="E258" s="5" t="s">
        <v>36</v>
      </c>
    </row>
    <row r="259" spans="1:5" ht="52.8" x14ac:dyDescent="0.3">
      <c r="A259" s="5" t="s">
        <v>784</v>
      </c>
      <c r="B259" s="5" t="s">
        <v>785</v>
      </c>
      <c r="C259" s="5" t="s">
        <v>786</v>
      </c>
      <c r="D259" s="5" t="s">
        <v>766</v>
      </c>
      <c r="E259" s="5" t="s">
        <v>36</v>
      </c>
    </row>
    <row r="260" spans="1:5" ht="52.8" x14ac:dyDescent="0.3">
      <c r="A260" s="6" t="s">
        <v>787</v>
      </c>
      <c r="B260" s="6" t="s">
        <v>788</v>
      </c>
      <c r="C260" s="6" t="s">
        <v>789</v>
      </c>
      <c r="D260" s="6" t="s">
        <v>766</v>
      </c>
      <c r="E260" s="6" t="s">
        <v>67</v>
      </c>
    </row>
    <row r="261" spans="1:5" ht="52.8" x14ac:dyDescent="0.3">
      <c r="A261" s="6" t="s">
        <v>790</v>
      </c>
      <c r="B261" s="6" t="s">
        <v>791</v>
      </c>
      <c r="C261" s="6" t="s">
        <v>792</v>
      </c>
      <c r="D261" s="6" t="s">
        <v>766</v>
      </c>
      <c r="E261" s="6" t="s">
        <v>67</v>
      </c>
    </row>
    <row r="262" spans="1:5" ht="52.8" x14ac:dyDescent="0.3">
      <c r="A262" s="6" t="s">
        <v>793</v>
      </c>
      <c r="B262" s="6" t="s">
        <v>794</v>
      </c>
      <c r="C262" s="6" t="s">
        <v>795</v>
      </c>
      <c r="D262" s="6" t="s">
        <v>766</v>
      </c>
      <c r="E262" s="6" t="s">
        <v>67</v>
      </c>
    </row>
    <row r="263" spans="1:5" ht="52.8" x14ac:dyDescent="0.3">
      <c r="A263" s="6" t="s">
        <v>796</v>
      </c>
      <c r="B263" s="6" t="s">
        <v>797</v>
      </c>
      <c r="C263" s="6" t="s">
        <v>798</v>
      </c>
      <c r="D263" s="6" t="s">
        <v>766</v>
      </c>
      <c r="E263" s="6" t="s">
        <v>67</v>
      </c>
    </row>
    <row r="264" spans="1:5" ht="52.8" x14ac:dyDescent="0.3">
      <c r="A264" s="6" t="s">
        <v>799</v>
      </c>
      <c r="B264" s="6" t="s">
        <v>800</v>
      </c>
      <c r="C264" s="6" t="s">
        <v>801</v>
      </c>
      <c r="D264" s="6" t="s">
        <v>766</v>
      </c>
      <c r="E264" s="6" t="s">
        <v>67</v>
      </c>
    </row>
    <row r="265" spans="1:5" ht="52.8" x14ac:dyDescent="0.3">
      <c r="A265" s="6" t="s">
        <v>802</v>
      </c>
      <c r="B265" s="6" t="s">
        <v>803</v>
      </c>
      <c r="C265" s="6" t="s">
        <v>804</v>
      </c>
      <c r="D265" s="6" t="s">
        <v>766</v>
      </c>
      <c r="E265" s="6" t="s">
        <v>67</v>
      </c>
    </row>
    <row r="266" spans="1:5" ht="52.8" x14ac:dyDescent="0.3">
      <c r="A266" s="6" t="s">
        <v>805</v>
      </c>
      <c r="B266" s="6" t="s">
        <v>806</v>
      </c>
      <c r="C266" s="6" t="s">
        <v>807</v>
      </c>
      <c r="D266" s="6" t="s">
        <v>766</v>
      </c>
      <c r="E266" s="6" t="s">
        <v>67</v>
      </c>
    </row>
    <row r="267" spans="1:5" ht="52.8" x14ac:dyDescent="0.3">
      <c r="A267" s="6" t="s">
        <v>808</v>
      </c>
      <c r="B267" s="6" t="s">
        <v>809</v>
      </c>
      <c r="C267" s="6" t="s">
        <v>810</v>
      </c>
      <c r="D267" s="6" t="s">
        <v>766</v>
      </c>
      <c r="E267" s="6" t="s">
        <v>67</v>
      </c>
    </row>
    <row r="268" spans="1:5" ht="52.8" x14ac:dyDescent="0.3">
      <c r="A268" s="7" t="s">
        <v>811</v>
      </c>
      <c r="B268" s="7" t="s">
        <v>812</v>
      </c>
      <c r="C268" s="7" t="s">
        <v>813</v>
      </c>
      <c r="D268" s="7" t="s">
        <v>766</v>
      </c>
      <c r="E268" s="7" t="s">
        <v>113</v>
      </c>
    </row>
    <row r="269" spans="1:5" ht="52.8" x14ac:dyDescent="0.3">
      <c r="A269" s="7" t="s">
        <v>814</v>
      </c>
      <c r="B269" s="7" t="s">
        <v>815</v>
      </c>
      <c r="C269" s="7" t="s">
        <v>816</v>
      </c>
      <c r="D269" s="7" t="s">
        <v>766</v>
      </c>
      <c r="E269" s="7" t="s">
        <v>113</v>
      </c>
    </row>
    <row r="270" spans="1:5" ht="52.8" x14ac:dyDescent="0.3">
      <c r="A270" s="5" t="s">
        <v>817</v>
      </c>
      <c r="B270" s="5" t="s">
        <v>818</v>
      </c>
      <c r="C270" s="5" t="s">
        <v>819</v>
      </c>
      <c r="D270" s="5" t="s">
        <v>820</v>
      </c>
      <c r="E270" s="5" t="s">
        <v>36</v>
      </c>
    </row>
    <row r="271" spans="1:5" ht="52.8" x14ac:dyDescent="0.3">
      <c r="A271" s="6" t="s">
        <v>821</v>
      </c>
      <c r="B271" s="6" t="s">
        <v>822</v>
      </c>
      <c r="C271" s="6" t="s">
        <v>823</v>
      </c>
      <c r="D271" s="6" t="s">
        <v>820</v>
      </c>
      <c r="E271" s="6" t="s">
        <v>67</v>
      </c>
    </row>
    <row r="272" spans="1:5" ht="52.8" x14ac:dyDescent="0.3">
      <c r="A272" s="6" t="s">
        <v>824</v>
      </c>
      <c r="B272" s="6" t="s">
        <v>825</v>
      </c>
      <c r="C272" s="6" t="s">
        <v>826</v>
      </c>
      <c r="D272" s="6" t="s">
        <v>820</v>
      </c>
      <c r="E272" s="6" t="s">
        <v>67</v>
      </c>
    </row>
    <row r="273" spans="1:5" ht="52.8" x14ac:dyDescent="0.3">
      <c r="A273" s="6" t="s">
        <v>827</v>
      </c>
      <c r="B273" s="6" t="s">
        <v>828</v>
      </c>
      <c r="C273" s="6" t="s">
        <v>829</v>
      </c>
      <c r="D273" s="6" t="s">
        <v>820</v>
      </c>
      <c r="E273" s="6" t="s">
        <v>67</v>
      </c>
    </row>
    <row r="274" spans="1:5" ht="52.8" x14ac:dyDescent="0.3">
      <c r="A274" s="6" t="s">
        <v>830</v>
      </c>
      <c r="B274" s="6" t="s">
        <v>831</v>
      </c>
      <c r="C274" s="6" t="s">
        <v>832</v>
      </c>
      <c r="D274" s="6" t="s">
        <v>820</v>
      </c>
      <c r="E274" s="6" t="s">
        <v>67</v>
      </c>
    </row>
    <row r="275" spans="1:5" ht="52.8" x14ac:dyDescent="0.3">
      <c r="A275" s="6" t="s">
        <v>833</v>
      </c>
      <c r="B275" s="6" t="s">
        <v>834</v>
      </c>
      <c r="C275" s="6" t="s">
        <v>835</v>
      </c>
      <c r="D275" s="6" t="s">
        <v>820</v>
      </c>
      <c r="E275" s="6" t="s">
        <v>67</v>
      </c>
    </row>
    <row r="276" spans="1:5" ht="52.8" x14ac:dyDescent="0.3">
      <c r="A276" s="7" t="s">
        <v>758</v>
      </c>
      <c r="B276" s="7" t="s">
        <v>836</v>
      </c>
      <c r="C276" s="7" t="s">
        <v>837</v>
      </c>
      <c r="D276" s="7" t="s">
        <v>820</v>
      </c>
      <c r="E276" s="7" t="s">
        <v>113</v>
      </c>
    </row>
    <row r="277" spans="1:5" ht="52.8" x14ac:dyDescent="0.3">
      <c r="A277" s="7" t="s">
        <v>838</v>
      </c>
      <c r="B277" s="7" t="s">
        <v>839</v>
      </c>
      <c r="C277" s="7" t="s">
        <v>840</v>
      </c>
      <c r="D277" s="7" t="s">
        <v>820</v>
      </c>
      <c r="E277" s="7" t="s">
        <v>113</v>
      </c>
    </row>
    <row r="278" spans="1:5" ht="52.8" x14ac:dyDescent="0.3">
      <c r="A278" s="7" t="s">
        <v>841</v>
      </c>
      <c r="B278" s="7" t="s">
        <v>842</v>
      </c>
      <c r="C278" s="7" t="s">
        <v>843</v>
      </c>
      <c r="D278" s="7" t="s">
        <v>820</v>
      </c>
      <c r="E278" s="7" t="s">
        <v>113</v>
      </c>
    </row>
    <row r="279" spans="1:5" ht="52.8" x14ac:dyDescent="0.3">
      <c r="A279" s="5" t="s">
        <v>844</v>
      </c>
      <c r="B279" s="5" t="s">
        <v>845</v>
      </c>
      <c r="C279" s="5" t="s">
        <v>846</v>
      </c>
      <c r="D279" s="5" t="s">
        <v>847</v>
      </c>
      <c r="E279" s="5" t="s">
        <v>36</v>
      </c>
    </row>
    <row r="280" spans="1:5" ht="52.8" x14ac:dyDescent="0.3">
      <c r="A280" s="5" t="s">
        <v>151</v>
      </c>
      <c r="B280" s="5" t="s">
        <v>152</v>
      </c>
      <c r="C280" s="5" t="s">
        <v>848</v>
      </c>
      <c r="D280" s="5" t="s">
        <v>847</v>
      </c>
      <c r="E280" s="5" t="s">
        <v>36</v>
      </c>
    </row>
    <row r="281" spans="1:5" ht="52.8" x14ac:dyDescent="0.3">
      <c r="A281" s="5" t="s">
        <v>849</v>
      </c>
      <c r="B281" s="5" t="s">
        <v>850</v>
      </c>
      <c r="C281" s="5" t="s">
        <v>851</v>
      </c>
      <c r="D281" s="5" t="s">
        <v>847</v>
      </c>
      <c r="E281" s="5" t="s">
        <v>36</v>
      </c>
    </row>
    <row r="282" spans="1:5" ht="52.8" x14ac:dyDescent="0.3">
      <c r="A282" s="5" t="s">
        <v>852</v>
      </c>
      <c r="B282" s="5" t="s">
        <v>853</v>
      </c>
      <c r="C282" s="5" t="s">
        <v>854</v>
      </c>
      <c r="D282" s="5" t="s">
        <v>847</v>
      </c>
      <c r="E282" s="5" t="s">
        <v>36</v>
      </c>
    </row>
    <row r="283" spans="1:5" ht="52.8" x14ac:dyDescent="0.3">
      <c r="A283" s="5" t="s">
        <v>855</v>
      </c>
      <c r="B283" s="5" t="s">
        <v>856</v>
      </c>
      <c r="C283" s="5" t="s">
        <v>857</v>
      </c>
      <c r="D283" s="5" t="s">
        <v>847</v>
      </c>
      <c r="E283" s="5" t="s">
        <v>36</v>
      </c>
    </row>
    <row r="284" spans="1:5" ht="52.8" x14ac:dyDescent="0.3">
      <c r="A284" s="5" t="s">
        <v>858</v>
      </c>
      <c r="B284" s="5" t="s">
        <v>859</v>
      </c>
      <c r="C284" s="5" t="s">
        <v>860</v>
      </c>
      <c r="D284" s="5" t="s">
        <v>847</v>
      </c>
      <c r="E284" s="5" t="s">
        <v>36</v>
      </c>
    </row>
    <row r="285" spans="1:5" ht="52.8" x14ac:dyDescent="0.3">
      <c r="A285" s="5" t="s">
        <v>861</v>
      </c>
      <c r="B285" s="5" t="s">
        <v>862</v>
      </c>
      <c r="C285" s="5" t="s">
        <v>863</v>
      </c>
      <c r="D285" s="5" t="s">
        <v>847</v>
      </c>
      <c r="E285" s="5" t="s">
        <v>36</v>
      </c>
    </row>
    <row r="286" spans="1:5" ht="52.8" x14ac:dyDescent="0.3">
      <c r="A286" s="5" t="s">
        <v>864</v>
      </c>
      <c r="B286" s="5" t="s">
        <v>865</v>
      </c>
      <c r="C286" s="5" t="s">
        <v>866</v>
      </c>
      <c r="D286" s="5" t="s">
        <v>847</v>
      </c>
      <c r="E286" s="5" t="s">
        <v>36</v>
      </c>
    </row>
    <row r="287" spans="1:5" ht="52.8" x14ac:dyDescent="0.3">
      <c r="A287" s="5" t="s">
        <v>867</v>
      </c>
      <c r="B287" s="5" t="s">
        <v>868</v>
      </c>
      <c r="C287" s="5" t="s">
        <v>869</v>
      </c>
      <c r="D287" s="5" t="s">
        <v>847</v>
      </c>
      <c r="E287" s="5" t="s">
        <v>36</v>
      </c>
    </row>
    <row r="288" spans="1:5" ht="52.8" x14ac:dyDescent="0.3">
      <c r="A288" s="5" t="s">
        <v>870</v>
      </c>
      <c r="B288" s="5" t="s">
        <v>871</v>
      </c>
      <c r="C288" s="5" t="s">
        <v>872</v>
      </c>
      <c r="D288" s="5" t="s">
        <v>847</v>
      </c>
      <c r="E288" s="5" t="s">
        <v>36</v>
      </c>
    </row>
    <row r="289" spans="1:5" ht="52.8" x14ac:dyDescent="0.3">
      <c r="A289" s="6" t="s">
        <v>873</v>
      </c>
      <c r="B289" s="6" t="s">
        <v>874</v>
      </c>
      <c r="C289" s="6" t="s">
        <v>875</v>
      </c>
      <c r="D289" s="6" t="s">
        <v>847</v>
      </c>
      <c r="E289" s="6" t="s">
        <v>67</v>
      </c>
    </row>
    <row r="290" spans="1:5" ht="52.8" x14ac:dyDescent="0.3">
      <c r="A290" s="6" t="s">
        <v>876</v>
      </c>
      <c r="B290" s="6" t="s">
        <v>877</v>
      </c>
      <c r="C290" s="6" t="s">
        <v>878</v>
      </c>
      <c r="D290" s="6" t="s">
        <v>847</v>
      </c>
      <c r="E290" s="6" t="s">
        <v>67</v>
      </c>
    </row>
    <row r="291" spans="1:5" ht="52.8" x14ac:dyDescent="0.3">
      <c r="A291" s="6" t="s">
        <v>610</v>
      </c>
      <c r="B291" s="6" t="s">
        <v>879</v>
      </c>
      <c r="C291" s="6" t="s">
        <v>880</v>
      </c>
      <c r="D291" s="6" t="s">
        <v>847</v>
      </c>
      <c r="E291" s="6" t="s">
        <v>67</v>
      </c>
    </row>
    <row r="292" spans="1:5" ht="52.8" x14ac:dyDescent="0.3">
      <c r="A292" s="6" t="s">
        <v>881</v>
      </c>
      <c r="B292" s="6" t="s">
        <v>882</v>
      </c>
      <c r="C292" s="6" t="s">
        <v>883</v>
      </c>
      <c r="D292" s="6" t="s">
        <v>847</v>
      </c>
      <c r="E292" s="6" t="s">
        <v>67</v>
      </c>
    </row>
    <row r="293" spans="1:5" ht="52.8" x14ac:dyDescent="0.3">
      <c r="A293" s="6" t="s">
        <v>154</v>
      </c>
      <c r="B293" s="6" t="s">
        <v>884</v>
      </c>
      <c r="C293" s="6" t="s">
        <v>885</v>
      </c>
      <c r="D293" s="6" t="s">
        <v>847</v>
      </c>
      <c r="E293" s="6" t="s">
        <v>67</v>
      </c>
    </row>
    <row r="294" spans="1:5" ht="52.8" x14ac:dyDescent="0.3">
      <c r="A294" s="6" t="s">
        <v>886</v>
      </c>
      <c r="B294" s="6" t="s">
        <v>887</v>
      </c>
      <c r="C294" s="6" t="s">
        <v>888</v>
      </c>
      <c r="D294" s="6" t="s">
        <v>847</v>
      </c>
      <c r="E294" s="6" t="s">
        <v>67</v>
      </c>
    </row>
    <row r="295" spans="1:5" ht="52.8" x14ac:dyDescent="0.3">
      <c r="A295" s="6" t="s">
        <v>802</v>
      </c>
      <c r="B295" s="6" t="s">
        <v>889</v>
      </c>
      <c r="C295" s="6" t="s">
        <v>890</v>
      </c>
      <c r="D295" s="6" t="s">
        <v>847</v>
      </c>
      <c r="E295" s="6" t="s">
        <v>67</v>
      </c>
    </row>
    <row r="296" spans="1:5" ht="52.8" x14ac:dyDescent="0.3">
      <c r="A296" s="6" t="s">
        <v>187</v>
      </c>
      <c r="B296" s="6" t="s">
        <v>188</v>
      </c>
      <c r="C296" s="6" t="s">
        <v>891</v>
      </c>
      <c r="D296" s="6" t="s">
        <v>847</v>
      </c>
      <c r="E296" s="6" t="s">
        <v>67</v>
      </c>
    </row>
    <row r="297" spans="1:5" ht="52.8" x14ac:dyDescent="0.3">
      <c r="A297" s="6" t="s">
        <v>892</v>
      </c>
      <c r="B297" s="6" t="s">
        <v>893</v>
      </c>
      <c r="C297" s="6" t="s">
        <v>894</v>
      </c>
      <c r="D297" s="6" t="s">
        <v>847</v>
      </c>
      <c r="E297" s="6" t="s">
        <v>67</v>
      </c>
    </row>
    <row r="298" spans="1:5" ht="52.8" x14ac:dyDescent="0.3">
      <c r="A298" s="6" t="s">
        <v>692</v>
      </c>
      <c r="B298" s="6" t="s">
        <v>693</v>
      </c>
      <c r="C298" s="6" t="s">
        <v>895</v>
      </c>
      <c r="D298" s="6" t="s">
        <v>847</v>
      </c>
      <c r="E298" s="6" t="s">
        <v>67</v>
      </c>
    </row>
    <row r="299" spans="1:5" ht="52.8" x14ac:dyDescent="0.3">
      <c r="A299" s="6" t="s">
        <v>896</v>
      </c>
      <c r="B299" s="6" t="s">
        <v>897</v>
      </c>
      <c r="C299" s="6" t="s">
        <v>898</v>
      </c>
      <c r="D299" s="6" t="s">
        <v>847</v>
      </c>
      <c r="E299" s="6" t="s">
        <v>67</v>
      </c>
    </row>
    <row r="300" spans="1:5" ht="52.8" x14ac:dyDescent="0.3">
      <c r="A300" s="7" t="s">
        <v>899</v>
      </c>
      <c r="B300" s="7" t="s">
        <v>900</v>
      </c>
      <c r="C300" s="7" t="s">
        <v>901</v>
      </c>
      <c r="D300" s="7" t="s">
        <v>847</v>
      </c>
      <c r="E300" s="7" t="s">
        <v>113</v>
      </c>
    </row>
    <row r="301" spans="1:5" ht="52.8" x14ac:dyDescent="0.3">
      <c r="A301" s="7" t="s">
        <v>902</v>
      </c>
      <c r="B301" s="7" t="s">
        <v>903</v>
      </c>
      <c r="C301" s="7" t="s">
        <v>904</v>
      </c>
      <c r="D301" s="7" t="s">
        <v>847</v>
      </c>
      <c r="E301" s="7" t="s">
        <v>113</v>
      </c>
    </row>
    <row r="302" spans="1:5" ht="52.8" x14ac:dyDescent="0.3">
      <c r="A302" s="7" t="s">
        <v>905</v>
      </c>
      <c r="B302" s="7" t="s">
        <v>906</v>
      </c>
      <c r="C302" s="7" t="s">
        <v>907</v>
      </c>
      <c r="D302" s="7" t="s">
        <v>847</v>
      </c>
      <c r="E302" s="7" t="s">
        <v>113</v>
      </c>
    </row>
    <row r="303" spans="1:5" ht="52.8" x14ac:dyDescent="0.3">
      <c r="A303" s="5" t="s">
        <v>908</v>
      </c>
      <c r="B303" s="5" t="s">
        <v>909</v>
      </c>
      <c r="C303" s="5" t="s">
        <v>910</v>
      </c>
      <c r="D303" s="5" t="s">
        <v>911</v>
      </c>
      <c r="E303" s="5" t="s">
        <v>36</v>
      </c>
    </row>
    <row r="304" spans="1:5" ht="52.8" x14ac:dyDescent="0.3">
      <c r="A304" s="5" t="s">
        <v>912</v>
      </c>
      <c r="B304" s="5" t="s">
        <v>913</v>
      </c>
      <c r="C304" s="5" t="s">
        <v>914</v>
      </c>
      <c r="D304" s="5" t="s">
        <v>911</v>
      </c>
      <c r="E304" s="5" t="s">
        <v>36</v>
      </c>
    </row>
    <row r="305" spans="1:5" ht="52.8" x14ac:dyDescent="0.3">
      <c r="A305" s="5" t="s">
        <v>915</v>
      </c>
      <c r="B305" s="5" t="s">
        <v>916</v>
      </c>
      <c r="C305" s="5" t="s">
        <v>917</v>
      </c>
      <c r="D305" s="5" t="s">
        <v>911</v>
      </c>
      <c r="E305" s="5" t="s">
        <v>36</v>
      </c>
    </row>
    <row r="306" spans="1:5" ht="52.8" x14ac:dyDescent="0.3">
      <c r="A306" s="6" t="s">
        <v>98</v>
      </c>
      <c r="B306" s="6" t="s">
        <v>918</v>
      </c>
      <c r="C306" s="6" t="s">
        <v>919</v>
      </c>
      <c r="D306" s="6" t="s">
        <v>911</v>
      </c>
      <c r="E306" s="6" t="s">
        <v>67</v>
      </c>
    </row>
    <row r="307" spans="1:5" ht="52.8" x14ac:dyDescent="0.3">
      <c r="A307" s="6" t="s">
        <v>546</v>
      </c>
      <c r="B307" s="6" t="s">
        <v>547</v>
      </c>
      <c r="C307" s="6" t="s">
        <v>920</v>
      </c>
      <c r="D307" s="6" t="s">
        <v>911</v>
      </c>
      <c r="E307" s="6" t="s">
        <v>67</v>
      </c>
    </row>
    <row r="308" spans="1:5" ht="52.8" x14ac:dyDescent="0.3">
      <c r="A308" s="6" t="s">
        <v>921</v>
      </c>
      <c r="B308" s="6" t="s">
        <v>922</v>
      </c>
      <c r="C308" s="6" t="s">
        <v>923</v>
      </c>
      <c r="D308" s="6" t="s">
        <v>911</v>
      </c>
      <c r="E308" s="6" t="s">
        <v>67</v>
      </c>
    </row>
    <row r="309" spans="1:5" ht="52.8" x14ac:dyDescent="0.3">
      <c r="A309" s="6" t="s">
        <v>924</v>
      </c>
      <c r="B309" s="6" t="s">
        <v>925</v>
      </c>
      <c r="C309" s="6" t="s">
        <v>926</v>
      </c>
      <c r="D309" s="6" t="s">
        <v>911</v>
      </c>
      <c r="E309" s="6" t="s">
        <v>67</v>
      </c>
    </row>
    <row r="310" spans="1:5" ht="52.8" x14ac:dyDescent="0.3">
      <c r="A310" s="6" t="s">
        <v>927</v>
      </c>
      <c r="B310" s="6" t="s">
        <v>928</v>
      </c>
      <c r="C310" s="6" t="s">
        <v>929</v>
      </c>
      <c r="D310" s="6" t="s">
        <v>911</v>
      </c>
      <c r="E310" s="6" t="s">
        <v>67</v>
      </c>
    </row>
    <row r="311" spans="1:5" ht="52.8" x14ac:dyDescent="0.3">
      <c r="A311" s="6" t="s">
        <v>930</v>
      </c>
      <c r="B311" s="6" t="s">
        <v>931</v>
      </c>
      <c r="C311" s="6" t="s">
        <v>932</v>
      </c>
      <c r="D311" s="6" t="s">
        <v>911</v>
      </c>
      <c r="E311" s="6" t="s">
        <v>67</v>
      </c>
    </row>
    <row r="312" spans="1:5" ht="52.8" x14ac:dyDescent="0.3">
      <c r="A312" s="6" t="s">
        <v>933</v>
      </c>
      <c r="B312" s="6" t="s">
        <v>934</v>
      </c>
      <c r="C312" s="6" t="s">
        <v>935</v>
      </c>
      <c r="D312" s="6" t="s">
        <v>911</v>
      </c>
      <c r="E312" s="6" t="s">
        <v>67</v>
      </c>
    </row>
    <row r="313" spans="1:5" ht="52.8" x14ac:dyDescent="0.3">
      <c r="A313" s="6" t="s">
        <v>677</v>
      </c>
      <c r="B313" s="6" t="s">
        <v>936</v>
      </c>
      <c r="C313" s="6" t="s">
        <v>937</v>
      </c>
      <c r="D313" s="6" t="s">
        <v>911</v>
      </c>
      <c r="E313" s="6" t="s">
        <v>67</v>
      </c>
    </row>
    <row r="314" spans="1:5" ht="52.8" x14ac:dyDescent="0.3">
      <c r="A314" s="6" t="s">
        <v>938</v>
      </c>
      <c r="B314" s="6" t="s">
        <v>939</v>
      </c>
      <c r="C314" s="6" t="s">
        <v>940</v>
      </c>
      <c r="D314" s="6" t="s">
        <v>911</v>
      </c>
      <c r="E314" s="6" t="s">
        <v>67</v>
      </c>
    </row>
    <row r="315" spans="1:5" ht="52.8" x14ac:dyDescent="0.3">
      <c r="A315" s="6" t="s">
        <v>941</v>
      </c>
      <c r="B315" s="6" t="s">
        <v>942</v>
      </c>
      <c r="C315" s="6" t="s">
        <v>943</v>
      </c>
      <c r="D315" s="6" t="s">
        <v>911</v>
      </c>
      <c r="E315" s="6" t="s">
        <v>67</v>
      </c>
    </row>
    <row r="316" spans="1:5" ht="52.8" x14ac:dyDescent="0.3">
      <c r="A316" s="7" t="s">
        <v>944</v>
      </c>
      <c r="B316" s="7" t="s">
        <v>945</v>
      </c>
      <c r="C316" s="7" t="s">
        <v>946</v>
      </c>
      <c r="D316" s="7" t="s">
        <v>911</v>
      </c>
      <c r="E316" s="7" t="s">
        <v>113</v>
      </c>
    </row>
    <row r="317" spans="1:5" ht="52.8" x14ac:dyDescent="0.3">
      <c r="A317" s="7" t="s">
        <v>703</v>
      </c>
      <c r="B317" s="7" t="s">
        <v>947</v>
      </c>
      <c r="C317" s="7" t="s">
        <v>948</v>
      </c>
      <c r="D317" s="7" t="s">
        <v>911</v>
      </c>
      <c r="E317" s="7" t="s">
        <v>113</v>
      </c>
    </row>
    <row r="318" spans="1:5" ht="52.8" x14ac:dyDescent="0.3">
      <c r="A318" s="7" t="s">
        <v>949</v>
      </c>
      <c r="B318" s="7" t="s">
        <v>950</v>
      </c>
      <c r="C318" s="7" t="s">
        <v>951</v>
      </c>
      <c r="D318" s="7" t="s">
        <v>911</v>
      </c>
      <c r="E318" s="7" t="s">
        <v>113</v>
      </c>
    </row>
    <row r="319" spans="1:5" ht="52.8" x14ac:dyDescent="0.3">
      <c r="A319" s="5" t="s">
        <v>952</v>
      </c>
      <c r="B319" s="5" t="s">
        <v>953</v>
      </c>
      <c r="C319" s="5" t="s">
        <v>954</v>
      </c>
      <c r="D319" s="5" t="s">
        <v>955</v>
      </c>
      <c r="E319" s="5" t="s">
        <v>36</v>
      </c>
    </row>
    <row r="320" spans="1:5" ht="52.8" x14ac:dyDescent="0.3">
      <c r="A320" s="5" t="s">
        <v>956</v>
      </c>
      <c r="B320" s="5" t="s">
        <v>957</v>
      </c>
      <c r="C320" s="5" t="s">
        <v>958</v>
      </c>
      <c r="D320" s="5" t="s">
        <v>955</v>
      </c>
      <c r="E320" s="5" t="s">
        <v>36</v>
      </c>
    </row>
    <row r="321" spans="1:5" ht="39.6" x14ac:dyDescent="0.3">
      <c r="A321" s="6" t="s">
        <v>157</v>
      </c>
      <c r="B321" s="6" t="s">
        <v>959</v>
      </c>
      <c r="C321" s="6" t="s">
        <v>159</v>
      </c>
      <c r="D321" s="6" t="s">
        <v>955</v>
      </c>
      <c r="E321" s="6" t="s">
        <v>67</v>
      </c>
    </row>
    <row r="322" spans="1:5" ht="52.8" x14ac:dyDescent="0.3">
      <c r="A322" s="6" t="s">
        <v>169</v>
      </c>
      <c r="B322" s="6" t="s">
        <v>960</v>
      </c>
      <c r="C322" s="6" t="s">
        <v>171</v>
      </c>
      <c r="D322" s="6" t="s">
        <v>955</v>
      </c>
      <c r="E322" s="6" t="s">
        <v>67</v>
      </c>
    </row>
    <row r="323" spans="1:5" ht="52.8" x14ac:dyDescent="0.3">
      <c r="A323" s="6" t="s">
        <v>961</v>
      </c>
      <c r="B323" s="6" t="s">
        <v>962</v>
      </c>
      <c r="C323" s="6" t="s">
        <v>963</v>
      </c>
      <c r="D323" s="6" t="s">
        <v>955</v>
      </c>
      <c r="E323" s="6" t="s">
        <v>67</v>
      </c>
    </row>
    <row r="324" spans="1:5" ht="52.8" x14ac:dyDescent="0.3">
      <c r="A324" s="6" t="s">
        <v>964</v>
      </c>
      <c r="B324" s="6" t="s">
        <v>965</v>
      </c>
      <c r="C324" s="6" t="s">
        <v>966</v>
      </c>
      <c r="D324" s="6" t="s">
        <v>955</v>
      </c>
      <c r="E324" s="6" t="s">
        <v>67</v>
      </c>
    </row>
    <row r="325" spans="1:5" ht="52.8" x14ac:dyDescent="0.3">
      <c r="A325" s="6" t="s">
        <v>193</v>
      </c>
      <c r="B325" s="6" t="s">
        <v>967</v>
      </c>
      <c r="C325" s="6" t="s">
        <v>195</v>
      </c>
      <c r="D325" s="6" t="s">
        <v>955</v>
      </c>
      <c r="E325" s="6" t="s">
        <v>67</v>
      </c>
    </row>
    <row r="326" spans="1:5" ht="52.8" x14ac:dyDescent="0.3">
      <c r="A326" s="6" t="s">
        <v>968</v>
      </c>
      <c r="B326" s="6" t="s">
        <v>969</v>
      </c>
      <c r="C326" s="6" t="s">
        <v>970</v>
      </c>
      <c r="D326" s="6" t="s">
        <v>955</v>
      </c>
      <c r="E326" s="6" t="s">
        <v>67</v>
      </c>
    </row>
    <row r="327" spans="1:5" ht="52.8" x14ac:dyDescent="0.3">
      <c r="A327" s="6" t="s">
        <v>971</v>
      </c>
      <c r="B327" s="6" t="s">
        <v>972</v>
      </c>
      <c r="C327" s="6" t="s">
        <v>973</v>
      </c>
      <c r="D327" s="6" t="s">
        <v>955</v>
      </c>
      <c r="E327" s="6" t="s">
        <v>67</v>
      </c>
    </row>
    <row r="328" spans="1:5" ht="52.8" x14ac:dyDescent="0.3">
      <c r="A328" s="6" t="s">
        <v>974</v>
      </c>
      <c r="B328" s="6" t="s">
        <v>975</v>
      </c>
      <c r="C328" s="6" t="s">
        <v>976</v>
      </c>
      <c r="D328" s="6" t="s">
        <v>955</v>
      </c>
      <c r="E328" s="6" t="s">
        <v>67</v>
      </c>
    </row>
    <row r="329" spans="1:5" ht="52.8" x14ac:dyDescent="0.3">
      <c r="A329" s="6" t="s">
        <v>977</v>
      </c>
      <c r="B329" s="6" t="s">
        <v>978</v>
      </c>
      <c r="C329" s="6" t="s">
        <v>979</v>
      </c>
      <c r="D329" s="6" t="s">
        <v>955</v>
      </c>
      <c r="E329" s="6" t="s">
        <v>67</v>
      </c>
    </row>
    <row r="330" spans="1:5" ht="52.8" x14ac:dyDescent="0.3">
      <c r="A330" s="6" t="s">
        <v>980</v>
      </c>
      <c r="B330" s="6" t="s">
        <v>981</v>
      </c>
      <c r="C330" s="6" t="s">
        <v>982</v>
      </c>
      <c r="D330" s="6" t="s">
        <v>955</v>
      </c>
      <c r="E330" s="6" t="s">
        <v>67</v>
      </c>
    </row>
    <row r="331" spans="1:5" ht="52.8" x14ac:dyDescent="0.3">
      <c r="A331" s="7" t="s">
        <v>123</v>
      </c>
      <c r="B331" s="7" t="s">
        <v>983</v>
      </c>
      <c r="C331" s="7" t="s">
        <v>984</v>
      </c>
      <c r="D331" s="7" t="s">
        <v>955</v>
      </c>
      <c r="E331" s="7" t="s">
        <v>113</v>
      </c>
    </row>
    <row r="332" spans="1:5" ht="52.8" x14ac:dyDescent="0.3">
      <c r="A332" s="7" t="s">
        <v>193</v>
      </c>
      <c r="B332" s="7" t="s">
        <v>985</v>
      </c>
      <c r="C332" s="7" t="s">
        <v>195</v>
      </c>
      <c r="D332" s="7" t="s">
        <v>955</v>
      </c>
      <c r="E332" s="7" t="s">
        <v>113</v>
      </c>
    </row>
    <row r="333" spans="1:5" ht="52.8" x14ac:dyDescent="0.3">
      <c r="A333" s="7" t="s">
        <v>986</v>
      </c>
      <c r="B333" s="7" t="s">
        <v>987</v>
      </c>
      <c r="C333" s="7" t="s">
        <v>988</v>
      </c>
      <c r="D333" s="7" t="s">
        <v>955</v>
      </c>
      <c r="E333" s="7" t="s">
        <v>113</v>
      </c>
    </row>
    <row r="334" spans="1:5" ht="52.8" x14ac:dyDescent="0.3">
      <c r="A334" s="5" t="s">
        <v>989</v>
      </c>
      <c r="B334" s="5" t="s">
        <v>990</v>
      </c>
      <c r="C334" s="5" t="s">
        <v>991</v>
      </c>
      <c r="D334" s="5" t="s">
        <v>992</v>
      </c>
      <c r="E334" s="5" t="s">
        <v>36</v>
      </c>
    </row>
    <row r="335" spans="1:5" ht="52.8" x14ac:dyDescent="0.3">
      <c r="A335" s="5" t="s">
        <v>52</v>
      </c>
      <c r="B335" s="5" t="s">
        <v>993</v>
      </c>
      <c r="C335" s="5" t="s">
        <v>994</v>
      </c>
      <c r="D335" s="5" t="s">
        <v>992</v>
      </c>
      <c r="E335" s="5" t="s">
        <v>36</v>
      </c>
    </row>
    <row r="336" spans="1:5" ht="52.8" x14ac:dyDescent="0.3">
      <c r="A336" s="5" t="s">
        <v>995</v>
      </c>
      <c r="B336" s="5" t="s">
        <v>996</v>
      </c>
      <c r="C336" s="5" t="s">
        <v>997</v>
      </c>
      <c r="D336" s="5" t="s">
        <v>992</v>
      </c>
      <c r="E336" s="5" t="s">
        <v>36</v>
      </c>
    </row>
    <row r="337" spans="1:5" ht="52.8" x14ac:dyDescent="0.3">
      <c r="A337" s="5" t="s">
        <v>46</v>
      </c>
      <c r="B337" s="5" t="s">
        <v>998</v>
      </c>
      <c r="C337" s="5" t="s">
        <v>999</v>
      </c>
      <c r="D337" s="5" t="s">
        <v>992</v>
      </c>
      <c r="E337" s="5" t="s">
        <v>36</v>
      </c>
    </row>
    <row r="338" spans="1:5" ht="52.8" x14ac:dyDescent="0.3">
      <c r="A338" s="5" t="s">
        <v>133</v>
      </c>
      <c r="B338" s="5" t="s">
        <v>1000</v>
      </c>
      <c r="C338" s="5" t="s">
        <v>1001</v>
      </c>
      <c r="D338" s="5" t="s">
        <v>992</v>
      </c>
      <c r="E338" s="5" t="s">
        <v>36</v>
      </c>
    </row>
    <row r="339" spans="1:5" ht="52.8" x14ac:dyDescent="0.3">
      <c r="A339" s="5" t="s">
        <v>126</v>
      </c>
      <c r="B339" s="5" t="s">
        <v>1002</v>
      </c>
      <c r="C339" s="5" t="s">
        <v>128</v>
      </c>
      <c r="D339" s="5" t="s">
        <v>992</v>
      </c>
      <c r="E339" s="5" t="s">
        <v>36</v>
      </c>
    </row>
    <row r="340" spans="1:5" ht="52.8" x14ac:dyDescent="0.3">
      <c r="A340" s="5" t="s">
        <v>1003</v>
      </c>
      <c r="B340" s="5" t="s">
        <v>1004</v>
      </c>
      <c r="C340" s="5" t="s">
        <v>1005</v>
      </c>
      <c r="D340" s="5" t="s">
        <v>992</v>
      </c>
      <c r="E340" s="5" t="s">
        <v>36</v>
      </c>
    </row>
    <row r="341" spans="1:5" ht="52.8" x14ac:dyDescent="0.3">
      <c r="A341" s="5" t="s">
        <v>1006</v>
      </c>
      <c r="B341" s="5" t="s">
        <v>1007</v>
      </c>
      <c r="C341" s="5" t="s">
        <v>1008</v>
      </c>
      <c r="D341" s="5" t="s">
        <v>992</v>
      </c>
      <c r="E341" s="5" t="s">
        <v>36</v>
      </c>
    </row>
    <row r="342" spans="1:5" ht="39.6" x14ac:dyDescent="0.3">
      <c r="A342" s="6" t="s">
        <v>68</v>
      </c>
      <c r="B342" s="6" t="s">
        <v>1009</v>
      </c>
      <c r="C342" s="6" t="s">
        <v>70</v>
      </c>
      <c r="D342" s="6" t="s">
        <v>992</v>
      </c>
      <c r="E342" s="6" t="s">
        <v>67</v>
      </c>
    </row>
    <row r="343" spans="1:5" ht="52.8" x14ac:dyDescent="0.3">
      <c r="A343" s="6" t="s">
        <v>1010</v>
      </c>
      <c r="B343" s="6" t="s">
        <v>1011</v>
      </c>
      <c r="C343" s="6" t="s">
        <v>1012</v>
      </c>
      <c r="D343" s="6" t="s">
        <v>992</v>
      </c>
      <c r="E343" s="6" t="s">
        <v>67</v>
      </c>
    </row>
    <row r="344" spans="1:5" ht="52.8" x14ac:dyDescent="0.3">
      <c r="A344" s="6" t="s">
        <v>1013</v>
      </c>
      <c r="B344" s="6" t="s">
        <v>1014</v>
      </c>
      <c r="C344" s="6" t="s">
        <v>1015</v>
      </c>
      <c r="D344" s="6" t="s">
        <v>992</v>
      </c>
      <c r="E344" s="6" t="s">
        <v>67</v>
      </c>
    </row>
    <row r="345" spans="1:5" ht="52.8" x14ac:dyDescent="0.3">
      <c r="A345" s="6" t="s">
        <v>71</v>
      </c>
      <c r="B345" s="6" t="s">
        <v>1016</v>
      </c>
      <c r="C345" s="6" t="s">
        <v>73</v>
      </c>
      <c r="D345" s="6" t="s">
        <v>992</v>
      </c>
      <c r="E345" s="6" t="s">
        <v>67</v>
      </c>
    </row>
    <row r="346" spans="1:5" ht="52.8" x14ac:dyDescent="0.3">
      <c r="A346" s="6" t="s">
        <v>86</v>
      </c>
      <c r="B346" s="6" t="s">
        <v>1017</v>
      </c>
      <c r="C346" s="6" t="s">
        <v>1018</v>
      </c>
      <c r="D346" s="6" t="s">
        <v>992</v>
      </c>
      <c r="E346" s="6" t="s">
        <v>67</v>
      </c>
    </row>
    <row r="347" spans="1:5" ht="52.8" x14ac:dyDescent="0.3">
      <c r="A347" s="6" t="s">
        <v>977</v>
      </c>
      <c r="B347" s="6" t="s">
        <v>1019</v>
      </c>
      <c r="C347" s="6" t="s">
        <v>1020</v>
      </c>
      <c r="D347" s="6" t="s">
        <v>992</v>
      </c>
      <c r="E347" s="6" t="s">
        <v>67</v>
      </c>
    </row>
    <row r="348" spans="1:5" ht="52.8" x14ac:dyDescent="0.3">
      <c r="A348" s="6" t="s">
        <v>95</v>
      </c>
      <c r="B348" s="6" t="s">
        <v>1021</v>
      </c>
      <c r="C348" s="6" t="s">
        <v>1022</v>
      </c>
      <c r="D348" s="6" t="s">
        <v>992</v>
      </c>
      <c r="E348" s="6" t="s">
        <v>67</v>
      </c>
    </row>
    <row r="349" spans="1:5" ht="39.6" x14ac:dyDescent="0.3">
      <c r="A349" s="6" t="s">
        <v>83</v>
      </c>
      <c r="B349" s="6" t="s">
        <v>1023</v>
      </c>
      <c r="C349" s="6" t="s">
        <v>85</v>
      </c>
      <c r="D349" s="6" t="s">
        <v>992</v>
      </c>
      <c r="E349" s="6" t="s">
        <v>67</v>
      </c>
    </row>
    <row r="350" spans="1:5" ht="39.6" x14ac:dyDescent="0.3">
      <c r="A350" s="7" t="s">
        <v>110</v>
      </c>
      <c r="B350" s="7" t="s">
        <v>1024</v>
      </c>
      <c r="C350" s="7" t="s">
        <v>112</v>
      </c>
      <c r="D350" s="7" t="s">
        <v>992</v>
      </c>
      <c r="E350" s="7" t="s">
        <v>113</v>
      </c>
    </row>
    <row r="351" spans="1:5" ht="52.8" x14ac:dyDescent="0.3">
      <c r="A351" s="7" t="s">
        <v>193</v>
      </c>
      <c r="B351" s="7" t="s">
        <v>1025</v>
      </c>
      <c r="C351" s="7" t="s">
        <v>195</v>
      </c>
      <c r="D351" s="7" t="s">
        <v>992</v>
      </c>
      <c r="E351" s="7" t="s">
        <v>113</v>
      </c>
    </row>
    <row r="352" spans="1:5" ht="52.8" x14ac:dyDescent="0.3">
      <c r="A352" s="5" t="s">
        <v>55</v>
      </c>
      <c r="B352" s="5" t="s">
        <v>1026</v>
      </c>
      <c r="C352" s="5" t="s">
        <v>1027</v>
      </c>
      <c r="D352" s="5" t="s">
        <v>1028</v>
      </c>
      <c r="E352" s="5" t="s">
        <v>36</v>
      </c>
    </row>
    <row r="353" spans="1:5" ht="52.8" x14ac:dyDescent="0.3">
      <c r="A353" s="5" t="s">
        <v>1029</v>
      </c>
      <c r="B353" s="5" t="s">
        <v>1030</v>
      </c>
      <c r="C353" s="5" t="s">
        <v>1031</v>
      </c>
      <c r="D353" s="5" t="s">
        <v>1028</v>
      </c>
      <c r="E353" s="5" t="s">
        <v>36</v>
      </c>
    </row>
    <row r="354" spans="1:5" ht="52.8" x14ac:dyDescent="0.3">
      <c r="A354" s="5" t="s">
        <v>1032</v>
      </c>
      <c r="B354" s="5" t="s">
        <v>1033</v>
      </c>
      <c r="C354" s="5" t="s">
        <v>1034</v>
      </c>
      <c r="D354" s="5" t="s">
        <v>1028</v>
      </c>
      <c r="E354" s="5" t="s">
        <v>36</v>
      </c>
    </row>
    <row r="355" spans="1:5" ht="52.8" x14ac:dyDescent="0.3">
      <c r="A355" s="5" t="s">
        <v>1035</v>
      </c>
      <c r="B355" s="5" t="s">
        <v>1036</v>
      </c>
      <c r="C355" s="5" t="s">
        <v>1037</v>
      </c>
      <c r="D355" s="5" t="s">
        <v>1028</v>
      </c>
      <c r="E355" s="5" t="s">
        <v>36</v>
      </c>
    </row>
    <row r="356" spans="1:5" ht="52.8" x14ac:dyDescent="0.3">
      <c r="A356" s="6" t="s">
        <v>86</v>
      </c>
      <c r="B356" s="6" t="s">
        <v>1038</v>
      </c>
      <c r="C356" s="6" t="s">
        <v>1039</v>
      </c>
      <c r="D356" s="6" t="s">
        <v>1028</v>
      </c>
      <c r="E356" s="6" t="s">
        <v>67</v>
      </c>
    </row>
    <row r="357" spans="1:5" ht="52.8" x14ac:dyDescent="0.3">
      <c r="A357" s="6" t="s">
        <v>248</v>
      </c>
      <c r="B357" s="6" t="s">
        <v>1040</v>
      </c>
      <c r="C357" s="6" t="s">
        <v>1041</v>
      </c>
      <c r="D357" s="6" t="s">
        <v>1028</v>
      </c>
      <c r="E357" s="6" t="s">
        <v>67</v>
      </c>
    </row>
    <row r="358" spans="1:5" ht="52.8" x14ac:dyDescent="0.3">
      <c r="A358" s="6" t="s">
        <v>251</v>
      </c>
      <c r="B358" s="6" t="s">
        <v>252</v>
      </c>
      <c r="C358" s="6" t="s">
        <v>1042</v>
      </c>
      <c r="D358" s="6" t="s">
        <v>1028</v>
      </c>
      <c r="E358" s="6" t="s">
        <v>67</v>
      </c>
    </row>
    <row r="359" spans="1:5" ht="52.8" x14ac:dyDescent="0.3">
      <c r="A359" s="6" t="s">
        <v>1043</v>
      </c>
      <c r="B359" s="6" t="s">
        <v>1044</v>
      </c>
      <c r="C359" s="6" t="s">
        <v>1045</v>
      </c>
      <c r="D359" s="6" t="s">
        <v>1028</v>
      </c>
      <c r="E359" s="6" t="s">
        <v>67</v>
      </c>
    </row>
    <row r="360" spans="1:5" ht="52.8" x14ac:dyDescent="0.3">
      <c r="A360" s="6" t="s">
        <v>1046</v>
      </c>
      <c r="B360" s="6" t="s">
        <v>1047</v>
      </c>
      <c r="C360" s="6" t="s">
        <v>1048</v>
      </c>
      <c r="D360" s="6" t="s">
        <v>1028</v>
      </c>
      <c r="E360" s="6" t="s">
        <v>67</v>
      </c>
    </row>
    <row r="361" spans="1:5" ht="52.8" x14ac:dyDescent="0.3">
      <c r="A361" s="6" t="s">
        <v>671</v>
      </c>
      <c r="B361" s="6" t="s">
        <v>672</v>
      </c>
      <c r="C361" s="6" t="s">
        <v>1049</v>
      </c>
      <c r="D361" s="6" t="s">
        <v>1028</v>
      </c>
      <c r="E361" s="6" t="s">
        <v>67</v>
      </c>
    </row>
    <row r="362" spans="1:5" ht="52.8" x14ac:dyDescent="0.3">
      <c r="A362" s="6" t="s">
        <v>1050</v>
      </c>
      <c r="B362" s="6" t="s">
        <v>1051</v>
      </c>
      <c r="C362" s="6" t="s">
        <v>1052</v>
      </c>
      <c r="D362" s="6" t="s">
        <v>1028</v>
      </c>
      <c r="E362" s="6" t="s">
        <v>67</v>
      </c>
    </row>
    <row r="363" spans="1:5" ht="52.8" x14ac:dyDescent="0.3">
      <c r="A363" s="6" t="s">
        <v>1053</v>
      </c>
      <c r="B363" s="6" t="s">
        <v>1054</v>
      </c>
      <c r="C363" s="6" t="s">
        <v>1055</v>
      </c>
      <c r="D363" s="6" t="s">
        <v>1028</v>
      </c>
      <c r="E363" s="6" t="s">
        <v>67</v>
      </c>
    </row>
    <row r="364" spans="1:5" ht="52.8" x14ac:dyDescent="0.3">
      <c r="A364" s="6" t="s">
        <v>1056</v>
      </c>
      <c r="B364" s="6" t="s">
        <v>1057</v>
      </c>
      <c r="C364" s="6" t="s">
        <v>1058</v>
      </c>
      <c r="D364" s="6" t="s">
        <v>1028</v>
      </c>
      <c r="E364" s="6" t="s">
        <v>67</v>
      </c>
    </row>
    <row r="365" spans="1:5" ht="39.6" x14ac:dyDescent="0.3">
      <c r="A365" s="6" t="s">
        <v>101</v>
      </c>
      <c r="B365" s="6" t="s">
        <v>1059</v>
      </c>
      <c r="C365" s="6" t="s">
        <v>103</v>
      </c>
      <c r="D365" s="6" t="s">
        <v>1028</v>
      </c>
      <c r="E365" s="6" t="s">
        <v>67</v>
      </c>
    </row>
    <row r="366" spans="1:5" ht="52.8" x14ac:dyDescent="0.3">
      <c r="A366" s="7" t="s">
        <v>1060</v>
      </c>
      <c r="B366" s="7" t="s">
        <v>1061</v>
      </c>
      <c r="C366" s="7" t="s">
        <v>1062</v>
      </c>
      <c r="D366" s="7" t="s">
        <v>1028</v>
      </c>
      <c r="E366" s="7" t="s">
        <v>113</v>
      </c>
    </row>
    <row r="367" spans="1:5" ht="52.8" x14ac:dyDescent="0.3">
      <c r="A367" s="7" t="s">
        <v>1063</v>
      </c>
      <c r="B367" s="7" t="s">
        <v>1064</v>
      </c>
      <c r="C367" s="7" t="s">
        <v>1065</v>
      </c>
      <c r="D367" s="7" t="s">
        <v>1028</v>
      </c>
      <c r="E367" s="7" t="s">
        <v>113</v>
      </c>
    </row>
    <row r="368" spans="1:5" ht="52.8" x14ac:dyDescent="0.3">
      <c r="A368" s="5" t="s">
        <v>435</v>
      </c>
      <c r="B368" s="5" t="s">
        <v>1066</v>
      </c>
      <c r="C368" s="5" t="s">
        <v>1067</v>
      </c>
      <c r="D368" s="5" t="s">
        <v>1068</v>
      </c>
      <c r="E368" s="5" t="s">
        <v>36</v>
      </c>
    </row>
    <row r="369" spans="1:5" ht="52.8" x14ac:dyDescent="0.3">
      <c r="A369" s="6" t="s">
        <v>453</v>
      </c>
      <c r="B369" s="6" t="s">
        <v>454</v>
      </c>
      <c r="C369" s="6" t="s">
        <v>1069</v>
      </c>
      <c r="D369" s="6" t="s">
        <v>1068</v>
      </c>
      <c r="E369" s="6" t="s">
        <v>67</v>
      </c>
    </row>
    <row r="370" spans="1:5" ht="52.8" x14ac:dyDescent="0.3">
      <c r="A370" s="6" t="s">
        <v>456</v>
      </c>
      <c r="B370" s="6" t="s">
        <v>1070</v>
      </c>
      <c r="C370" s="6" t="s">
        <v>1071</v>
      </c>
      <c r="D370" s="6" t="s">
        <v>1068</v>
      </c>
      <c r="E370" s="6" t="s">
        <v>67</v>
      </c>
    </row>
    <row r="371" spans="1:5" ht="52.8" x14ac:dyDescent="0.3">
      <c r="A371" s="6" t="s">
        <v>1072</v>
      </c>
      <c r="B371" s="6" t="s">
        <v>1073</v>
      </c>
      <c r="C371" s="6" t="s">
        <v>1074</v>
      </c>
      <c r="D371" s="6" t="s">
        <v>1068</v>
      </c>
      <c r="E371" s="6" t="s">
        <v>67</v>
      </c>
    </row>
    <row r="372" spans="1:5" ht="52.8" x14ac:dyDescent="0.3">
      <c r="A372" s="6" t="s">
        <v>1075</v>
      </c>
      <c r="B372" s="6" t="s">
        <v>1076</v>
      </c>
      <c r="C372" s="6" t="s">
        <v>1077</v>
      </c>
      <c r="D372" s="6" t="s">
        <v>1068</v>
      </c>
      <c r="E372" s="6" t="s">
        <v>67</v>
      </c>
    </row>
    <row r="373" spans="1:5" ht="52.8" x14ac:dyDescent="0.3">
      <c r="A373" s="6" t="s">
        <v>1078</v>
      </c>
      <c r="B373" s="6" t="s">
        <v>1079</v>
      </c>
      <c r="C373" s="6" t="s">
        <v>1080</v>
      </c>
      <c r="D373" s="6" t="s">
        <v>1068</v>
      </c>
      <c r="E373" s="6" t="s">
        <v>67</v>
      </c>
    </row>
    <row r="374" spans="1:5" ht="52.8" x14ac:dyDescent="0.3">
      <c r="A374" s="6" t="s">
        <v>1081</v>
      </c>
      <c r="B374" s="6" t="s">
        <v>1082</v>
      </c>
      <c r="C374" s="6" t="s">
        <v>1083</v>
      </c>
      <c r="D374" s="6" t="s">
        <v>1068</v>
      </c>
      <c r="E374" s="6" t="s">
        <v>67</v>
      </c>
    </row>
    <row r="375" spans="1:5" ht="52.8" x14ac:dyDescent="0.3">
      <c r="A375" s="6" t="s">
        <v>1084</v>
      </c>
      <c r="B375" s="6" t="s">
        <v>1085</v>
      </c>
      <c r="C375" s="6" t="s">
        <v>1086</v>
      </c>
      <c r="D375" s="6" t="s">
        <v>1068</v>
      </c>
      <c r="E375" s="6" t="s">
        <v>67</v>
      </c>
    </row>
    <row r="376" spans="1:5" ht="52.8" x14ac:dyDescent="0.3">
      <c r="A376" s="6" t="s">
        <v>1087</v>
      </c>
      <c r="B376" s="6" t="s">
        <v>1088</v>
      </c>
      <c r="C376" s="6" t="s">
        <v>1089</v>
      </c>
      <c r="D376" s="6" t="s">
        <v>1068</v>
      </c>
      <c r="E376" s="6" t="s">
        <v>67</v>
      </c>
    </row>
    <row r="377" spans="1:5" ht="52.8" x14ac:dyDescent="0.3">
      <c r="A377" s="7" t="s">
        <v>1090</v>
      </c>
      <c r="B377" s="7" t="s">
        <v>1091</v>
      </c>
      <c r="C377" s="7" t="s">
        <v>1092</v>
      </c>
      <c r="D377" s="7" t="s">
        <v>1068</v>
      </c>
      <c r="E377" s="7" t="s">
        <v>113</v>
      </c>
    </row>
    <row r="378" spans="1:5" ht="52.8" x14ac:dyDescent="0.3">
      <c r="A378" s="7" t="s">
        <v>1093</v>
      </c>
      <c r="B378" s="7" t="s">
        <v>1094</v>
      </c>
      <c r="C378" s="7" t="s">
        <v>1095</v>
      </c>
      <c r="D378" s="7" t="s">
        <v>1068</v>
      </c>
      <c r="E378" s="7" t="s">
        <v>113</v>
      </c>
    </row>
    <row r="379" spans="1:5" ht="52.8" x14ac:dyDescent="0.3">
      <c r="A379" s="5" t="s">
        <v>1096</v>
      </c>
      <c r="B379" s="5" t="s">
        <v>1097</v>
      </c>
      <c r="C379" s="5" t="s">
        <v>1098</v>
      </c>
      <c r="D379" s="5" t="s">
        <v>1099</v>
      </c>
      <c r="E379" s="5" t="s">
        <v>36</v>
      </c>
    </row>
    <row r="380" spans="1:5" ht="52.8" x14ac:dyDescent="0.3">
      <c r="A380" s="5" t="s">
        <v>1100</v>
      </c>
      <c r="B380" s="5" t="s">
        <v>1101</v>
      </c>
      <c r="C380" s="5" t="s">
        <v>1102</v>
      </c>
      <c r="D380" s="5" t="s">
        <v>1099</v>
      </c>
      <c r="E380" s="5" t="s">
        <v>36</v>
      </c>
    </row>
    <row r="381" spans="1:5" ht="52.8" x14ac:dyDescent="0.3">
      <c r="A381" s="5" t="s">
        <v>1103</v>
      </c>
      <c r="B381" s="5" t="s">
        <v>1104</v>
      </c>
      <c r="C381" s="5" t="s">
        <v>1105</v>
      </c>
      <c r="D381" s="5" t="s">
        <v>1099</v>
      </c>
      <c r="E381" s="5" t="s">
        <v>36</v>
      </c>
    </row>
    <row r="382" spans="1:5" ht="52.8" x14ac:dyDescent="0.3">
      <c r="A382" s="5" t="s">
        <v>277</v>
      </c>
      <c r="B382" s="5" t="s">
        <v>1106</v>
      </c>
      <c r="C382" s="5" t="s">
        <v>1107</v>
      </c>
      <c r="D382" s="5" t="s">
        <v>1099</v>
      </c>
      <c r="E382" s="5" t="s">
        <v>36</v>
      </c>
    </row>
    <row r="383" spans="1:5" ht="52.8" x14ac:dyDescent="0.3">
      <c r="A383" s="6" t="s">
        <v>269</v>
      </c>
      <c r="B383" s="6" t="s">
        <v>1108</v>
      </c>
      <c r="C383" s="6" t="s">
        <v>1109</v>
      </c>
      <c r="D383" s="6" t="s">
        <v>1099</v>
      </c>
      <c r="E383" s="6" t="s">
        <v>67</v>
      </c>
    </row>
    <row r="384" spans="1:5" ht="52.8" x14ac:dyDescent="0.3">
      <c r="A384" s="6" t="s">
        <v>332</v>
      </c>
      <c r="B384" s="6" t="s">
        <v>333</v>
      </c>
      <c r="C384" s="6" t="s">
        <v>1110</v>
      </c>
      <c r="D384" s="6" t="s">
        <v>1099</v>
      </c>
      <c r="E384" s="6" t="s">
        <v>67</v>
      </c>
    </row>
    <row r="385" spans="1:5" ht="52.8" x14ac:dyDescent="0.3">
      <c r="A385" s="6" t="s">
        <v>1111</v>
      </c>
      <c r="B385" s="6" t="s">
        <v>1112</v>
      </c>
      <c r="C385" s="6" t="s">
        <v>1113</v>
      </c>
      <c r="D385" s="6" t="s">
        <v>1099</v>
      </c>
      <c r="E385" s="6" t="s">
        <v>67</v>
      </c>
    </row>
    <row r="386" spans="1:5" ht="52.8" x14ac:dyDescent="0.3">
      <c r="A386" s="6" t="s">
        <v>1114</v>
      </c>
      <c r="B386" s="6" t="s">
        <v>1115</v>
      </c>
      <c r="C386" s="6" t="s">
        <v>1116</v>
      </c>
      <c r="D386" s="6" t="s">
        <v>1099</v>
      </c>
      <c r="E386" s="6" t="s">
        <v>67</v>
      </c>
    </row>
    <row r="387" spans="1:5" ht="52.8" x14ac:dyDescent="0.3">
      <c r="A387" s="6" t="s">
        <v>1117</v>
      </c>
      <c r="B387" s="6" t="s">
        <v>1118</v>
      </c>
      <c r="C387" s="6" t="s">
        <v>1119</v>
      </c>
      <c r="D387" s="6" t="s">
        <v>1099</v>
      </c>
      <c r="E387" s="6" t="s">
        <v>67</v>
      </c>
    </row>
    <row r="388" spans="1:5" ht="52.8" x14ac:dyDescent="0.3">
      <c r="A388" s="6" t="s">
        <v>1120</v>
      </c>
      <c r="B388" s="6" t="s">
        <v>1121</v>
      </c>
      <c r="C388" s="6" t="s">
        <v>1122</v>
      </c>
      <c r="D388" s="6" t="s">
        <v>1099</v>
      </c>
      <c r="E388" s="6" t="s">
        <v>67</v>
      </c>
    </row>
    <row r="389" spans="1:5" ht="52.8" x14ac:dyDescent="0.3">
      <c r="A389" s="6" t="s">
        <v>1123</v>
      </c>
      <c r="B389" s="6" t="s">
        <v>1124</v>
      </c>
      <c r="C389" s="6" t="s">
        <v>1125</v>
      </c>
      <c r="D389" s="6" t="s">
        <v>1099</v>
      </c>
      <c r="E389" s="6" t="s">
        <v>67</v>
      </c>
    </row>
    <row r="390" spans="1:5" ht="52.8" x14ac:dyDescent="0.3">
      <c r="A390" s="6" t="s">
        <v>1126</v>
      </c>
      <c r="B390" s="6" t="s">
        <v>1127</v>
      </c>
      <c r="C390" s="6" t="s">
        <v>1128</v>
      </c>
      <c r="D390" s="6" t="s">
        <v>1099</v>
      </c>
      <c r="E390" s="6" t="s">
        <v>67</v>
      </c>
    </row>
    <row r="391" spans="1:5" ht="52.8" x14ac:dyDescent="0.3">
      <c r="A391" s="6" t="s">
        <v>1129</v>
      </c>
      <c r="B391" s="6" t="s">
        <v>1130</v>
      </c>
      <c r="C391" s="6" t="s">
        <v>1131</v>
      </c>
      <c r="D391" s="6" t="s">
        <v>1099</v>
      </c>
      <c r="E391" s="6" t="s">
        <v>67</v>
      </c>
    </row>
    <row r="392" spans="1:5" ht="52.8" x14ac:dyDescent="0.3">
      <c r="A392" s="6" t="s">
        <v>642</v>
      </c>
      <c r="B392" s="6" t="s">
        <v>1132</v>
      </c>
      <c r="C392" s="6" t="s">
        <v>1133</v>
      </c>
      <c r="D392" s="6" t="s">
        <v>1099</v>
      </c>
      <c r="E392" s="6" t="s">
        <v>67</v>
      </c>
    </row>
    <row r="393" spans="1:5" ht="52.8" x14ac:dyDescent="0.3">
      <c r="A393" s="7" t="s">
        <v>1134</v>
      </c>
      <c r="B393" s="7" t="s">
        <v>1135</v>
      </c>
      <c r="C393" s="7" t="s">
        <v>1136</v>
      </c>
      <c r="D393" s="7" t="s">
        <v>1099</v>
      </c>
      <c r="E393" s="7" t="s">
        <v>113</v>
      </c>
    </row>
    <row r="394" spans="1:5" ht="52.8" x14ac:dyDescent="0.3">
      <c r="A394" s="7" t="s">
        <v>1137</v>
      </c>
      <c r="B394" s="7" t="s">
        <v>1138</v>
      </c>
      <c r="C394" s="7" t="s">
        <v>1139</v>
      </c>
      <c r="D394" s="7" t="s">
        <v>1099</v>
      </c>
      <c r="E394" s="7" t="s">
        <v>113</v>
      </c>
    </row>
    <row r="395" spans="1:5" ht="52.8" x14ac:dyDescent="0.3">
      <c r="A395" s="7" t="s">
        <v>1140</v>
      </c>
      <c r="B395" s="7" t="s">
        <v>1141</v>
      </c>
      <c r="C395" s="7" t="s">
        <v>1142</v>
      </c>
      <c r="D395" s="7" t="s">
        <v>1099</v>
      </c>
      <c r="E395" s="7" t="s">
        <v>113</v>
      </c>
    </row>
    <row r="396" spans="1:5" ht="52.8" x14ac:dyDescent="0.3">
      <c r="A396" s="7" t="s">
        <v>1143</v>
      </c>
      <c r="B396" s="7" t="s">
        <v>1144</v>
      </c>
      <c r="C396" s="7" t="s">
        <v>1145</v>
      </c>
      <c r="D396" s="7" t="s">
        <v>1099</v>
      </c>
      <c r="E396" s="7" t="s">
        <v>113</v>
      </c>
    </row>
    <row r="397" spans="1:5" ht="52.8" x14ac:dyDescent="0.3">
      <c r="A397" s="7" t="s">
        <v>1146</v>
      </c>
      <c r="B397" s="7" t="s">
        <v>1147</v>
      </c>
      <c r="C397" s="7" t="s">
        <v>1148</v>
      </c>
      <c r="D397" s="7" t="s">
        <v>1099</v>
      </c>
      <c r="E397" s="7" t="s">
        <v>113</v>
      </c>
    </row>
    <row r="398" spans="1:5" ht="52.8" x14ac:dyDescent="0.3">
      <c r="A398" s="5" t="s">
        <v>32</v>
      </c>
      <c r="B398" s="5" t="s">
        <v>1149</v>
      </c>
      <c r="C398" s="5" t="s">
        <v>34</v>
      </c>
      <c r="D398" s="5" t="s">
        <v>1150</v>
      </c>
      <c r="E398" s="5" t="s">
        <v>36</v>
      </c>
    </row>
    <row r="399" spans="1:5" ht="39.6" x14ac:dyDescent="0.3">
      <c r="A399" s="5" t="s">
        <v>40</v>
      </c>
      <c r="B399" s="5" t="s">
        <v>1151</v>
      </c>
      <c r="C399" s="5" t="s">
        <v>42</v>
      </c>
      <c r="D399" s="5" t="s">
        <v>1150</v>
      </c>
      <c r="E399" s="5" t="s">
        <v>36</v>
      </c>
    </row>
    <row r="400" spans="1:5" ht="52.8" x14ac:dyDescent="0.3">
      <c r="A400" s="5" t="s">
        <v>130</v>
      </c>
      <c r="B400" s="5" t="s">
        <v>1152</v>
      </c>
      <c r="C400" s="5" t="s">
        <v>132</v>
      </c>
      <c r="D400" s="5" t="s">
        <v>1150</v>
      </c>
      <c r="E400" s="5" t="s">
        <v>36</v>
      </c>
    </row>
    <row r="401" spans="1:5" ht="52.8" x14ac:dyDescent="0.3">
      <c r="A401" s="5" t="s">
        <v>61</v>
      </c>
      <c r="B401" s="5" t="s">
        <v>1153</v>
      </c>
      <c r="C401" s="5" t="s">
        <v>1154</v>
      </c>
      <c r="D401" s="5" t="s">
        <v>1150</v>
      </c>
      <c r="E401" s="5" t="s">
        <v>36</v>
      </c>
    </row>
    <row r="402" spans="1:5" ht="52.8" x14ac:dyDescent="0.3">
      <c r="A402" s="5" t="s">
        <v>1003</v>
      </c>
      <c r="B402" s="5" t="s">
        <v>1155</v>
      </c>
      <c r="C402" s="5" t="s">
        <v>1156</v>
      </c>
      <c r="D402" s="5" t="s">
        <v>1150</v>
      </c>
      <c r="E402" s="5" t="s">
        <v>36</v>
      </c>
    </row>
    <row r="403" spans="1:5" ht="52.8" x14ac:dyDescent="0.3">
      <c r="A403" s="5" t="s">
        <v>1157</v>
      </c>
      <c r="B403" s="5" t="s">
        <v>1158</v>
      </c>
      <c r="C403" s="5" t="s">
        <v>1159</v>
      </c>
      <c r="D403" s="5" t="s">
        <v>1150</v>
      </c>
      <c r="E403" s="5" t="s">
        <v>36</v>
      </c>
    </row>
    <row r="404" spans="1:5" ht="52.8" x14ac:dyDescent="0.3">
      <c r="A404" s="5" t="s">
        <v>849</v>
      </c>
      <c r="B404" s="5" t="s">
        <v>1160</v>
      </c>
      <c r="C404" s="5" t="s">
        <v>1161</v>
      </c>
      <c r="D404" s="5" t="s">
        <v>1150</v>
      </c>
      <c r="E404" s="5" t="s">
        <v>36</v>
      </c>
    </row>
    <row r="405" spans="1:5" ht="52.8" x14ac:dyDescent="0.3">
      <c r="A405" s="5" t="s">
        <v>1162</v>
      </c>
      <c r="B405" s="5" t="s">
        <v>1163</v>
      </c>
      <c r="C405" s="5" t="s">
        <v>1164</v>
      </c>
      <c r="D405" s="5" t="s">
        <v>1150</v>
      </c>
      <c r="E405" s="5" t="s">
        <v>36</v>
      </c>
    </row>
    <row r="406" spans="1:5" ht="52.8" x14ac:dyDescent="0.3">
      <c r="A406" s="5" t="s">
        <v>1165</v>
      </c>
      <c r="B406" s="5" t="s">
        <v>1166</v>
      </c>
      <c r="C406" s="5" t="s">
        <v>1167</v>
      </c>
      <c r="D406" s="5" t="s">
        <v>1150</v>
      </c>
      <c r="E406" s="5" t="s">
        <v>36</v>
      </c>
    </row>
    <row r="407" spans="1:5" ht="52.8" x14ac:dyDescent="0.3">
      <c r="A407" s="5" t="s">
        <v>1168</v>
      </c>
      <c r="B407" s="5" t="s">
        <v>1169</v>
      </c>
      <c r="C407" s="5" t="s">
        <v>1170</v>
      </c>
      <c r="D407" s="5" t="s">
        <v>1150</v>
      </c>
      <c r="E407" s="5" t="s">
        <v>36</v>
      </c>
    </row>
    <row r="408" spans="1:5" ht="52.8" x14ac:dyDescent="0.3">
      <c r="A408" s="5" t="s">
        <v>1171</v>
      </c>
      <c r="B408" s="5" t="s">
        <v>1172</v>
      </c>
      <c r="C408" s="5" t="s">
        <v>1173</v>
      </c>
      <c r="D408" s="5" t="s">
        <v>1150</v>
      </c>
      <c r="E408" s="5" t="s">
        <v>36</v>
      </c>
    </row>
    <row r="409" spans="1:5" ht="52.8" x14ac:dyDescent="0.3">
      <c r="A409" s="5" t="s">
        <v>1174</v>
      </c>
      <c r="B409" s="5" t="s">
        <v>1175</v>
      </c>
      <c r="C409" s="5" t="s">
        <v>1176</v>
      </c>
      <c r="D409" s="5" t="s">
        <v>1150</v>
      </c>
      <c r="E409" s="5" t="s">
        <v>36</v>
      </c>
    </row>
    <row r="410" spans="1:5" ht="52.8" x14ac:dyDescent="0.3">
      <c r="A410" s="5" t="s">
        <v>1177</v>
      </c>
      <c r="B410" s="5" t="s">
        <v>1178</v>
      </c>
      <c r="C410" s="5" t="s">
        <v>1179</v>
      </c>
      <c r="D410" s="5" t="s">
        <v>1150</v>
      </c>
      <c r="E410" s="5" t="s">
        <v>36</v>
      </c>
    </row>
    <row r="411" spans="1:5" ht="52.8" x14ac:dyDescent="0.3">
      <c r="A411" s="5" t="s">
        <v>1180</v>
      </c>
      <c r="B411" s="5" t="s">
        <v>1181</v>
      </c>
      <c r="C411" s="5" t="s">
        <v>1182</v>
      </c>
      <c r="D411" s="5" t="s">
        <v>1150</v>
      </c>
      <c r="E411" s="5" t="s">
        <v>36</v>
      </c>
    </row>
    <row r="412" spans="1:5" ht="52.8" x14ac:dyDescent="0.3">
      <c r="A412" s="5" t="s">
        <v>1183</v>
      </c>
      <c r="B412" s="5" t="s">
        <v>1184</v>
      </c>
      <c r="C412" s="5" t="s">
        <v>1185</v>
      </c>
      <c r="D412" s="5" t="s">
        <v>1150</v>
      </c>
      <c r="E412" s="5" t="s">
        <v>36</v>
      </c>
    </row>
    <row r="413" spans="1:5" ht="52.8" x14ac:dyDescent="0.3">
      <c r="A413" s="6" t="s">
        <v>166</v>
      </c>
      <c r="B413" s="6" t="s">
        <v>1186</v>
      </c>
      <c r="C413" s="6" t="s">
        <v>168</v>
      </c>
      <c r="D413" s="6" t="s">
        <v>1150</v>
      </c>
      <c r="E413" s="6" t="s">
        <v>67</v>
      </c>
    </row>
    <row r="414" spans="1:5" ht="52.8" x14ac:dyDescent="0.3">
      <c r="A414" s="6" t="s">
        <v>671</v>
      </c>
      <c r="B414" s="6" t="s">
        <v>1187</v>
      </c>
      <c r="C414" s="6" t="s">
        <v>1188</v>
      </c>
      <c r="D414" s="6" t="s">
        <v>1150</v>
      </c>
      <c r="E414" s="6" t="s">
        <v>67</v>
      </c>
    </row>
    <row r="415" spans="1:5" ht="39.6" x14ac:dyDescent="0.3">
      <c r="A415" s="6" t="s">
        <v>157</v>
      </c>
      <c r="B415" s="6" t="s">
        <v>1189</v>
      </c>
      <c r="C415" s="6" t="s">
        <v>159</v>
      </c>
      <c r="D415" s="6" t="s">
        <v>1150</v>
      </c>
      <c r="E415" s="6" t="s">
        <v>67</v>
      </c>
    </row>
    <row r="416" spans="1:5" ht="52.8" x14ac:dyDescent="0.3">
      <c r="A416" s="6" t="s">
        <v>1190</v>
      </c>
      <c r="B416" s="6" t="s">
        <v>1191</v>
      </c>
      <c r="C416" s="6" t="s">
        <v>1192</v>
      </c>
      <c r="D416" s="6" t="s">
        <v>1150</v>
      </c>
      <c r="E416" s="6" t="s">
        <v>67</v>
      </c>
    </row>
    <row r="417" spans="1:5" ht="52.8" x14ac:dyDescent="0.3">
      <c r="A417" s="6" t="s">
        <v>1193</v>
      </c>
      <c r="B417" s="6" t="s">
        <v>1194</v>
      </c>
      <c r="C417" s="6" t="s">
        <v>1195</v>
      </c>
      <c r="D417" s="6" t="s">
        <v>1150</v>
      </c>
      <c r="E417" s="6" t="s">
        <v>67</v>
      </c>
    </row>
    <row r="418" spans="1:5" ht="52.8" x14ac:dyDescent="0.3">
      <c r="A418" s="6" t="s">
        <v>1196</v>
      </c>
      <c r="B418" s="6" t="s">
        <v>1197</v>
      </c>
      <c r="C418" s="6" t="s">
        <v>1198</v>
      </c>
      <c r="D418" s="6" t="s">
        <v>1150</v>
      </c>
      <c r="E418" s="6" t="s">
        <v>67</v>
      </c>
    </row>
    <row r="419" spans="1:5" ht="52.8" x14ac:dyDescent="0.3">
      <c r="A419" s="6" t="s">
        <v>1199</v>
      </c>
      <c r="B419" s="6" t="s">
        <v>1200</v>
      </c>
      <c r="C419" s="6" t="s">
        <v>1201</v>
      </c>
      <c r="D419" s="6" t="s">
        <v>1150</v>
      </c>
      <c r="E419" s="6" t="s">
        <v>67</v>
      </c>
    </row>
    <row r="420" spans="1:5" ht="52.8" x14ac:dyDescent="0.3">
      <c r="A420" s="6" t="s">
        <v>1202</v>
      </c>
      <c r="B420" s="6" t="s">
        <v>1203</v>
      </c>
      <c r="C420" s="6" t="s">
        <v>1204</v>
      </c>
      <c r="D420" s="6" t="s">
        <v>1150</v>
      </c>
      <c r="E420" s="6" t="s">
        <v>67</v>
      </c>
    </row>
    <row r="421" spans="1:5" ht="52.8" x14ac:dyDescent="0.3">
      <c r="A421" s="6" t="s">
        <v>1205</v>
      </c>
      <c r="B421" s="6" t="s">
        <v>1206</v>
      </c>
      <c r="C421" s="6" t="s">
        <v>1207</v>
      </c>
      <c r="D421" s="6" t="s">
        <v>1150</v>
      </c>
      <c r="E421" s="6" t="s">
        <v>67</v>
      </c>
    </row>
    <row r="422" spans="1:5" ht="52.8" x14ac:dyDescent="0.3">
      <c r="A422" s="6" t="s">
        <v>1208</v>
      </c>
      <c r="B422" s="6" t="s">
        <v>1209</v>
      </c>
      <c r="C422" s="6" t="s">
        <v>1210</v>
      </c>
      <c r="D422" s="6" t="s">
        <v>1150</v>
      </c>
      <c r="E422" s="6" t="s">
        <v>67</v>
      </c>
    </row>
    <row r="423" spans="1:5" ht="52.8" x14ac:dyDescent="0.3">
      <c r="A423" s="6" t="s">
        <v>1211</v>
      </c>
      <c r="B423" s="6" t="s">
        <v>1212</v>
      </c>
      <c r="C423" s="6" t="s">
        <v>1213</v>
      </c>
      <c r="D423" s="6" t="s">
        <v>1150</v>
      </c>
      <c r="E423" s="6" t="s">
        <v>67</v>
      </c>
    </row>
    <row r="424" spans="1:5" ht="52.8" x14ac:dyDescent="0.3">
      <c r="A424" s="6" t="s">
        <v>1214</v>
      </c>
      <c r="B424" s="6" t="s">
        <v>1215</v>
      </c>
      <c r="C424" s="6" t="s">
        <v>1216</v>
      </c>
      <c r="D424" s="6" t="s">
        <v>1150</v>
      </c>
      <c r="E424" s="6" t="s">
        <v>67</v>
      </c>
    </row>
    <row r="425" spans="1:5" ht="52.8" x14ac:dyDescent="0.3">
      <c r="A425" s="6" t="s">
        <v>902</v>
      </c>
      <c r="B425" s="6" t="s">
        <v>1217</v>
      </c>
      <c r="C425" s="6" t="s">
        <v>1218</v>
      </c>
      <c r="D425" s="6" t="s">
        <v>1150</v>
      </c>
      <c r="E425" s="6" t="s">
        <v>67</v>
      </c>
    </row>
    <row r="426" spans="1:5" ht="52.8" x14ac:dyDescent="0.3">
      <c r="A426" s="6" t="s">
        <v>1219</v>
      </c>
      <c r="B426" s="6" t="s">
        <v>1220</v>
      </c>
      <c r="C426" s="6" t="s">
        <v>1221</v>
      </c>
      <c r="D426" s="6" t="s">
        <v>1150</v>
      </c>
      <c r="E426" s="6" t="s">
        <v>67</v>
      </c>
    </row>
    <row r="427" spans="1:5" ht="52.8" x14ac:dyDescent="0.3">
      <c r="A427" s="6" t="s">
        <v>1222</v>
      </c>
      <c r="B427" s="6" t="s">
        <v>1223</v>
      </c>
      <c r="C427" s="6" t="s">
        <v>1224</v>
      </c>
      <c r="D427" s="6" t="s">
        <v>1150</v>
      </c>
      <c r="E427" s="6" t="s">
        <v>67</v>
      </c>
    </row>
    <row r="428" spans="1:5" ht="52.8" x14ac:dyDescent="0.3">
      <c r="A428" s="6" t="s">
        <v>1225</v>
      </c>
      <c r="B428" s="6" t="s">
        <v>1226</v>
      </c>
      <c r="C428" s="6" t="s">
        <v>1227</v>
      </c>
      <c r="D428" s="6" t="s">
        <v>1150</v>
      </c>
      <c r="E428" s="6" t="s">
        <v>67</v>
      </c>
    </row>
    <row r="429" spans="1:5" ht="52.8" x14ac:dyDescent="0.3">
      <c r="A429" s="6" t="s">
        <v>1228</v>
      </c>
      <c r="B429" s="6" t="s">
        <v>1229</v>
      </c>
      <c r="C429" s="6" t="s">
        <v>1230</v>
      </c>
      <c r="D429" s="6" t="s">
        <v>1150</v>
      </c>
      <c r="E429" s="6" t="s">
        <v>67</v>
      </c>
    </row>
    <row r="430" spans="1:5" ht="52.8" x14ac:dyDescent="0.3">
      <c r="A430" s="6" t="s">
        <v>1231</v>
      </c>
      <c r="B430" s="6" t="s">
        <v>1232</v>
      </c>
      <c r="C430" s="6" t="s">
        <v>1233</v>
      </c>
      <c r="D430" s="6" t="s">
        <v>1150</v>
      </c>
      <c r="E430" s="6" t="s">
        <v>67</v>
      </c>
    </row>
    <row r="431" spans="1:5" ht="52.8" x14ac:dyDescent="0.3">
      <c r="A431" s="6" t="s">
        <v>1234</v>
      </c>
      <c r="B431" s="6" t="s">
        <v>1235</v>
      </c>
      <c r="C431" s="6" t="s">
        <v>1236</v>
      </c>
      <c r="D431" s="6" t="s">
        <v>1150</v>
      </c>
      <c r="E431" s="6" t="s">
        <v>67</v>
      </c>
    </row>
    <row r="432" spans="1:5" ht="52.8" x14ac:dyDescent="0.3">
      <c r="A432" s="6" t="s">
        <v>1237</v>
      </c>
      <c r="B432" s="6" t="s">
        <v>1238</v>
      </c>
      <c r="C432" s="6" t="s">
        <v>1239</v>
      </c>
      <c r="D432" s="6" t="s">
        <v>1150</v>
      </c>
      <c r="E432" s="6" t="s">
        <v>67</v>
      </c>
    </row>
    <row r="433" spans="1:5" ht="52.8" x14ac:dyDescent="0.3">
      <c r="A433" s="6" t="s">
        <v>886</v>
      </c>
      <c r="B433" s="6" t="s">
        <v>1240</v>
      </c>
      <c r="C433" s="6" t="s">
        <v>1241</v>
      </c>
      <c r="D433" s="6" t="s">
        <v>1150</v>
      </c>
      <c r="E433" s="6" t="s">
        <v>67</v>
      </c>
    </row>
    <row r="434" spans="1:5" ht="52.8" x14ac:dyDescent="0.3">
      <c r="A434" s="6" t="s">
        <v>986</v>
      </c>
      <c r="B434" s="6" t="s">
        <v>1242</v>
      </c>
      <c r="C434" s="6" t="s">
        <v>1243</v>
      </c>
      <c r="D434" s="6" t="s">
        <v>1150</v>
      </c>
      <c r="E434" s="6" t="s">
        <v>67</v>
      </c>
    </row>
    <row r="435" spans="1:5" ht="52.8" x14ac:dyDescent="0.3">
      <c r="A435" s="6" t="s">
        <v>193</v>
      </c>
      <c r="B435" s="6" t="s">
        <v>1244</v>
      </c>
      <c r="C435" s="6" t="s">
        <v>195</v>
      </c>
      <c r="D435" s="6" t="s">
        <v>1150</v>
      </c>
      <c r="E435" s="6" t="s">
        <v>67</v>
      </c>
    </row>
    <row r="436" spans="1:5" ht="52.8" x14ac:dyDescent="0.3">
      <c r="A436" s="6" t="s">
        <v>1245</v>
      </c>
      <c r="B436" s="6" t="s">
        <v>1246</v>
      </c>
      <c r="C436" s="6" t="s">
        <v>1247</v>
      </c>
      <c r="D436" s="6" t="s">
        <v>1150</v>
      </c>
      <c r="E436" s="6" t="s">
        <v>67</v>
      </c>
    </row>
    <row r="437" spans="1:5" ht="52.8" x14ac:dyDescent="0.3">
      <c r="A437" s="6" t="s">
        <v>1248</v>
      </c>
      <c r="B437" s="6" t="s">
        <v>1249</v>
      </c>
      <c r="C437" s="6" t="s">
        <v>1250</v>
      </c>
      <c r="D437" s="6" t="s">
        <v>1150</v>
      </c>
      <c r="E437" s="6" t="s">
        <v>67</v>
      </c>
    </row>
    <row r="438" spans="1:5" ht="52.8" x14ac:dyDescent="0.3">
      <c r="A438" s="7" t="s">
        <v>269</v>
      </c>
      <c r="B438" s="7" t="s">
        <v>1251</v>
      </c>
      <c r="C438" s="7" t="s">
        <v>1252</v>
      </c>
      <c r="D438" s="7" t="s">
        <v>1150</v>
      </c>
      <c r="E438" s="7" t="s">
        <v>113</v>
      </c>
    </row>
    <row r="439" spans="1:5" ht="52.8" x14ac:dyDescent="0.3">
      <c r="A439" s="7" t="s">
        <v>1134</v>
      </c>
      <c r="B439" s="7" t="s">
        <v>1253</v>
      </c>
      <c r="C439" s="7" t="s">
        <v>1254</v>
      </c>
      <c r="D439" s="7" t="s">
        <v>1150</v>
      </c>
      <c r="E439" s="7" t="s">
        <v>113</v>
      </c>
    </row>
    <row r="440" spans="1:5" ht="52.8" x14ac:dyDescent="0.3">
      <c r="A440" s="7" t="s">
        <v>986</v>
      </c>
      <c r="B440" s="7" t="s">
        <v>1255</v>
      </c>
      <c r="C440" s="7" t="s">
        <v>1256</v>
      </c>
      <c r="D440" s="7" t="s">
        <v>1150</v>
      </c>
      <c r="E440" s="7" t="s">
        <v>113</v>
      </c>
    </row>
    <row r="441" spans="1:5" ht="52.8" x14ac:dyDescent="0.3">
      <c r="A441" s="7" t="s">
        <v>193</v>
      </c>
      <c r="B441" s="7" t="s">
        <v>1257</v>
      </c>
      <c r="C441" s="7" t="s">
        <v>195</v>
      </c>
      <c r="D441" s="7" t="s">
        <v>1150</v>
      </c>
      <c r="E441" s="7" t="s">
        <v>113</v>
      </c>
    </row>
    <row r="442" spans="1:5" ht="52.8" x14ac:dyDescent="0.3">
      <c r="A442" s="7" t="s">
        <v>1258</v>
      </c>
      <c r="B442" s="7" t="s">
        <v>1259</v>
      </c>
      <c r="C442" s="7" t="s">
        <v>1260</v>
      </c>
      <c r="D442" s="7" t="s">
        <v>1150</v>
      </c>
      <c r="E442" s="7" t="s">
        <v>113</v>
      </c>
    </row>
    <row r="443" spans="1:5" ht="52.8" x14ac:dyDescent="0.3">
      <c r="A443" s="7" t="s">
        <v>1261</v>
      </c>
      <c r="B443" s="7" t="s">
        <v>1262</v>
      </c>
      <c r="C443" s="7" t="s">
        <v>1263</v>
      </c>
      <c r="D443" s="7" t="s">
        <v>1150</v>
      </c>
      <c r="E443" s="7" t="s">
        <v>113</v>
      </c>
    </row>
    <row r="444" spans="1:5" ht="52.8" x14ac:dyDescent="0.3">
      <c r="A444" s="7" t="s">
        <v>1264</v>
      </c>
      <c r="B444" s="7" t="s">
        <v>1265</v>
      </c>
      <c r="C444" s="7" t="s">
        <v>1266</v>
      </c>
      <c r="D444" s="7" t="s">
        <v>1150</v>
      </c>
      <c r="E444" s="7" t="s">
        <v>113</v>
      </c>
    </row>
    <row r="445" spans="1:5" ht="52.8" x14ac:dyDescent="0.3">
      <c r="A445" s="7" t="s">
        <v>486</v>
      </c>
      <c r="B445" s="7" t="s">
        <v>1267</v>
      </c>
      <c r="C445" s="7" t="s">
        <v>1268</v>
      </c>
      <c r="D445" s="7" t="s">
        <v>1150</v>
      </c>
      <c r="E445" s="7" t="s">
        <v>113</v>
      </c>
    </row>
    <row r="446" spans="1:5" ht="52.8" x14ac:dyDescent="0.3">
      <c r="A446" s="7" t="s">
        <v>1269</v>
      </c>
      <c r="B446" s="7" t="s">
        <v>1270</v>
      </c>
      <c r="C446" s="7" t="s">
        <v>1271</v>
      </c>
      <c r="D446" s="7" t="s">
        <v>1150</v>
      </c>
      <c r="E446" s="7" t="s">
        <v>113</v>
      </c>
    </row>
    <row r="447" spans="1:5" ht="52.8" x14ac:dyDescent="0.3">
      <c r="A447" s="7" t="s">
        <v>1272</v>
      </c>
      <c r="B447" s="7" t="s">
        <v>1273</v>
      </c>
      <c r="C447" s="7" t="s">
        <v>1274</v>
      </c>
      <c r="D447" s="7" t="s">
        <v>1150</v>
      </c>
      <c r="E447" s="7" t="s">
        <v>113</v>
      </c>
    </row>
    <row r="448" spans="1:5" ht="52.8" x14ac:dyDescent="0.3">
      <c r="A448" s="7" t="s">
        <v>902</v>
      </c>
      <c r="B448" s="7" t="s">
        <v>1275</v>
      </c>
      <c r="C448" s="7" t="s">
        <v>1276</v>
      </c>
      <c r="D448" s="7" t="s">
        <v>1150</v>
      </c>
      <c r="E448" s="7" t="s">
        <v>113</v>
      </c>
    </row>
    <row r="449" spans="1:5" ht="52.8" x14ac:dyDescent="0.3">
      <c r="A449" s="7" t="s">
        <v>838</v>
      </c>
      <c r="B449" s="7" t="s">
        <v>1277</v>
      </c>
      <c r="C449" s="7" t="s">
        <v>1278</v>
      </c>
      <c r="D449" s="7" t="s">
        <v>1150</v>
      </c>
      <c r="E449" s="7" t="s">
        <v>113</v>
      </c>
    </row>
    <row r="450" spans="1:5" ht="52.8" x14ac:dyDescent="0.3">
      <c r="A450" s="7" t="s">
        <v>814</v>
      </c>
      <c r="B450" s="7" t="s">
        <v>1279</v>
      </c>
      <c r="C450" s="7" t="s">
        <v>1280</v>
      </c>
      <c r="D450" s="7" t="s">
        <v>1150</v>
      </c>
      <c r="E450" s="7" t="s">
        <v>113</v>
      </c>
    </row>
    <row r="451" spans="1:5" ht="52.8" x14ac:dyDescent="0.3">
      <c r="A451" s="7" t="s">
        <v>1281</v>
      </c>
      <c r="B451" s="7" t="s">
        <v>1282</v>
      </c>
      <c r="C451" s="7" t="s">
        <v>1283</v>
      </c>
      <c r="D451" s="7" t="s">
        <v>1150</v>
      </c>
      <c r="E451" s="7" t="s">
        <v>113</v>
      </c>
    </row>
  </sheetData>
  <autoFilter ref="A1:E451" xr:uid="{00000000-0009-0000-0000-000001000000}"/>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DSA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Abhishek Mittal</cp:lastModifiedBy>
  <cp:revision>0</cp:revision>
  <dcterms:created xsi:type="dcterms:W3CDTF">2026-03-01T14:39:03Z</dcterms:created>
  <dcterms:modified xsi:type="dcterms:W3CDTF">2026-03-03T13:59:15Z</dcterms:modified>
  <dc:language>en-US</dc:language>
</cp:coreProperties>
</file>